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| جلد و هویت" sheetId="1" state="visible" r:id="rId1"/>
    <sheet name="01 | Project Info" sheetId="2" state="visible" r:id="rId2"/>
    <sheet name="02 | Design Narrative" sheetId="3" state="visible" r:id="rId3"/>
    <sheet name="03 | Design Basis" sheetId="4" state="visible" r:id="rId4"/>
    <sheet name="04 | BOQ | برآورد" sheetId="5" state="visible" r:id="rId5"/>
    <sheet name="05 | Material Schedule" sheetId="6" state="visible" r:id="rId6"/>
    <sheet name="06 | Planting Schedule" sheetId="7" state="visible" r:id="rId7"/>
    <sheet name="07 | Lighting &amp; Irrigation" sheetId="8" state="visible" r:id="rId8"/>
    <sheet name="08 | Technical Notes" sheetId="9" state="visible" r:id="rId9"/>
    <sheet name="09 | Cost Summary" sheetId="10" state="visible" r:id="rId10"/>
    <sheet name="10 | Revision Log" sheetId="11" state="visible" r:id="rId11"/>
  </sheets>
  <definedNames>
    <definedName name="_xlnm.Print_Area" localSheetId="0">'00 | جلد و هویت'!$A$1:$H$32</definedName>
    <definedName name="_xlnm.Print_Titles" localSheetId="1">'01 | Project Info'!$1:$5</definedName>
    <definedName name="_xlnm.Print_Area" localSheetId="1">'01 | Project Info'!$A$1:$H$13</definedName>
    <definedName name="_xlnm.Print_Titles" localSheetId="2">'02 | Design Narrative'!$1:$5</definedName>
    <definedName name="_xlnm.Print_Area" localSheetId="2">'02 | Design Narrative'!$A$1:$D$12</definedName>
    <definedName name="_xlnm.Print_Titles" localSheetId="3">'03 | Design Basis'!$1:$5</definedName>
    <definedName name="_xlnm.Print_Area" localSheetId="3">'03 | Design Basis'!$A$1:$H$17</definedName>
    <definedName name="_xlnm.Print_Titles" localSheetId="4">'04 | BOQ | برآورد'!$1:$5</definedName>
    <definedName name="_xlnm.Print_Area" localSheetId="4">'04 | BOQ | برآورد'!$A$1:$H$50</definedName>
    <definedName name="_xlnm.Print_Titles" localSheetId="5">'05 | Material Schedule'!$1:$5</definedName>
    <definedName name="_xlnm.Print_Area" localSheetId="5">'05 | Material Schedule'!$A$1:$G$13</definedName>
    <definedName name="_xlnm.Print_Titles" localSheetId="6">'06 | Planting Schedule'!$1:$5</definedName>
    <definedName name="_xlnm.Print_Area" localSheetId="6">'06 | Planting Schedule'!$A$1:$G$13</definedName>
    <definedName name="_xlnm.Print_Titles" localSheetId="7">'07 | Lighting &amp; Irrigation'!$1:$5</definedName>
    <definedName name="_xlnm.Print_Area" localSheetId="7">'07 | Lighting &amp; Irrigation'!$A$1:$G$13</definedName>
    <definedName name="_xlnm.Print_Titles" localSheetId="8">'08 | Technical Notes'!$1:$5</definedName>
    <definedName name="_xlnm.Print_Area" localSheetId="8">'08 | Technical Notes'!$A$1:$F$16</definedName>
    <definedName name="_xlnm.Print_Titles" localSheetId="9">'09 | Cost Summary'!$1:$5</definedName>
    <definedName name="_xlnm.Print_Area" localSheetId="9">'09 | Cost Summary'!$A$1:$H$26</definedName>
    <definedName name="_xlnm.Print_Titles" localSheetId="10">'10 | Revision Log'!$1:$5</definedName>
    <definedName name="_xlnm.Print_Area" localSheetId="10">'10 | Revision Log'!$A$1:$F$10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"/>
    <numFmt numFmtId="165" formatCode="0.0%"/>
  </numFmts>
  <fonts count="42">
    <font>
      <name val="Calibri"/>
      <family val="2"/>
      <color theme="1"/>
      <sz val="11"/>
      <scheme val="minor"/>
    </font>
    <font>
      <name val="Aptos Display"/>
      <b val="1"/>
      <color rgb="00C0A163"/>
      <sz val="30"/>
    </font>
    <font>
      <name val="Aptos Display"/>
      <b val="1"/>
      <color rgb="00FFFFFF"/>
      <sz val="24"/>
    </font>
    <font>
      <name val="Tahoma"/>
      <color rgb="00C0A163"/>
      <sz val="10.5"/>
    </font>
    <font>
      <name val="Aptos Display"/>
      <b val="1"/>
      <color rgb="001E2A26"/>
      <sz val="21"/>
    </font>
    <font>
      <name val="Tahoma"/>
      <b val="1"/>
      <color rgb="0059684F"/>
      <sz val="14.5"/>
    </font>
    <font>
      <name val="Tahoma"/>
      <color rgb="0033413B"/>
      <sz val="9.5"/>
    </font>
    <font>
      <name val="Tahoma"/>
      <b val="1"/>
      <color rgb="001E2A26"/>
      <sz val="10"/>
    </font>
    <font>
      <name val="Tahoma"/>
      <b val="1"/>
      <color rgb="001E2A26"/>
      <sz val="9"/>
    </font>
    <font>
      <name val="Tahoma"/>
      <color rgb="0033413B"/>
      <sz val="9"/>
    </font>
    <font>
      <name val="Aptos"/>
      <b val="1"/>
      <color rgb="00FFFFFF"/>
      <sz val="9.5"/>
    </font>
    <font>
      <name val="Tahoma"/>
      <color rgb="0059684F"/>
      <sz val="9.5"/>
    </font>
    <font>
      <name val="Tahoma"/>
      <i val="1"/>
      <color rgb="001E2A26"/>
      <sz val="10.5"/>
    </font>
    <font>
      <name val="Aptos"/>
      <color rgb="00F8F5EC"/>
      <sz val="8"/>
    </font>
    <font>
      <name val="Tahoma"/>
      <b val="1"/>
      <color rgb="00F8F5EC"/>
      <sz val="12.5"/>
    </font>
    <font>
      <name val="Aptos"/>
      <color rgb="00C0A163"/>
      <sz val="9"/>
    </font>
    <font>
      <name val="Aptos"/>
      <i val="1"/>
      <color rgb="0059684F"/>
      <sz val="9"/>
    </font>
    <font>
      <name val="Tahoma"/>
      <b val="1"/>
      <color rgb="00FFFFFF"/>
      <sz val="9.5"/>
    </font>
    <font>
      <name val="Tahoma"/>
      <i val="1"/>
      <color rgb="0059684F"/>
      <sz val="8.5"/>
    </font>
    <font>
      <name val="Tahoma"/>
      <color rgb="001E2A26"/>
      <sz val="9"/>
    </font>
    <font>
      <name val="Tahoma"/>
      <b val="1"/>
      <color rgb="001E2A26"/>
      <sz val="9.5"/>
    </font>
    <font>
      <name val="Tahoma"/>
      <b val="1"/>
      <color rgb="0059684F"/>
      <sz val="9"/>
    </font>
    <font>
      <name val="Tahoma"/>
      <b val="1"/>
      <color rgb="0059684F"/>
      <sz val="8.5"/>
    </font>
    <font>
      <name val="Aptos"/>
      <color rgb="0033413B"/>
      <sz val="8.5"/>
    </font>
    <font>
      <name val="Tahoma"/>
      <color rgb="0059684F"/>
      <sz val="8.5"/>
    </font>
    <font>
      <name val="Tahoma"/>
      <b val="1"/>
      <color rgb="00B4713F"/>
      <sz val="8.5"/>
    </font>
    <font>
      <name val="Tahoma"/>
      <b val="1"/>
      <color rgb="0033413B"/>
      <sz val="9.5"/>
    </font>
    <font>
      <name val="Aptos"/>
      <color rgb="001E2A26"/>
      <sz val="9"/>
    </font>
    <font>
      <name val="Aptos"/>
      <b val="1"/>
      <color rgb="001E2A26"/>
      <sz val="9.5"/>
    </font>
    <font>
      <name val="Aptos"/>
      <b val="1"/>
      <color rgb="003F6B4A"/>
      <sz val="8.5"/>
    </font>
    <font>
      <name val="Tahoma"/>
      <b val="1"/>
      <color rgb="00FFFFFF"/>
      <sz val="10.5"/>
    </font>
    <font>
      <name val="Aptos"/>
      <b val="1"/>
      <color rgb="00FFFFFF"/>
      <sz val="10.5"/>
    </font>
    <font>
      <name val="Tahoma"/>
      <color rgb="00F8F5EC"/>
      <sz val="8.5"/>
    </font>
    <font>
      <name val="Tahoma"/>
      <b val="1"/>
      <color rgb="001E2A26"/>
      <sz val="10.5"/>
    </font>
    <font>
      <name val="Aptos"/>
      <b val="1"/>
      <color rgb="001E2A26"/>
      <sz val="10.5"/>
    </font>
    <font>
      <name val="Tahoma"/>
      <color rgb="0033413B"/>
      <sz val="8.5"/>
    </font>
    <font>
      <name val="Aptos"/>
      <b val="1"/>
      <color rgb="0033413B"/>
      <sz val="9"/>
    </font>
    <font>
      <name val="Aptos"/>
      <b val="1"/>
      <color rgb="008A5A16"/>
      <sz val="10"/>
    </font>
    <font>
      <name val="Aptos"/>
      <i val="1"/>
      <color rgb="008A5A16"/>
      <sz val="8"/>
    </font>
    <font>
      <name val="Aptos"/>
      <b val="1"/>
      <color rgb="00FFFFFF"/>
      <sz val="11.5"/>
    </font>
    <font>
      <name val="Tahoma"/>
      <color rgb="00F8F5EC"/>
      <sz val="8"/>
    </font>
    <font>
      <name val="Aptos"/>
      <b val="1"/>
      <color rgb="00B4713F"/>
      <sz val="12"/>
    </font>
  </fonts>
  <fills count="12">
    <fill>
      <patternFill/>
    </fill>
    <fill>
      <patternFill patternType="gray125"/>
    </fill>
    <fill>
      <gradientFill type="linear">
        <stop position="0">
          <color rgb="0033413B"/>
        </stop>
        <stop position="1">
          <color rgb="001E2A26"/>
        </stop>
      </gradientFill>
    </fill>
    <fill>
      <patternFill patternType="solid">
        <fgColor rgb="001E2A26"/>
      </patternFill>
    </fill>
    <fill>
      <patternFill patternType="solid">
        <fgColor rgb="00B4713F"/>
      </patternFill>
    </fill>
    <fill>
      <patternFill patternType="solid">
        <fgColor rgb="00F8F5EC"/>
      </patternFill>
    </fill>
    <fill>
      <patternFill patternType="solid">
        <fgColor rgb="00C0A163"/>
      </patternFill>
    </fill>
    <fill>
      <patternFill patternType="solid">
        <fgColor rgb="00E7EBDF"/>
      </patternFill>
    </fill>
    <fill>
      <patternFill patternType="solid">
        <fgColor rgb="00F1EBDD"/>
      </patternFill>
    </fill>
    <fill>
      <patternFill patternType="solid">
        <fgColor rgb="00FFFFFF"/>
      </patternFill>
    </fill>
    <fill>
      <patternFill patternType="solid">
        <fgColor rgb="0033413B"/>
      </patternFill>
    </fill>
    <fill>
      <patternFill patternType="solid">
        <fgColor rgb="00FBEFD6"/>
      </patternFill>
    </fill>
  </fills>
  <borders count="33">
    <border>
      <left/>
      <right/>
      <top/>
      <bottom/>
      <diagonal/>
    </border>
    <border>
      <right style="thin">
        <color rgb="00C0A163"/>
      </right>
      <bottom style="thin">
        <color rgb="00C0A163"/>
      </bottom>
    </border>
    <border>
      <left/>
      <right style="thin">
        <color rgb="00C0A163"/>
      </right>
      <top/>
      <bottom/>
      <diagonal/>
    </border>
    <border>
      <left/>
      <right/>
      <top/>
      <bottom style="thin">
        <color rgb="00C0A163"/>
      </bottom>
      <diagonal/>
    </border>
    <border>
      <left/>
      <right style="thin">
        <color rgb="00C0A163"/>
      </right>
      <top/>
      <bottom style="thin">
        <color rgb="00C0A163"/>
      </bottom>
      <diagonal/>
    </border>
    <border/>
    <border>
      <bottom style="thin">
        <color rgb="007C8B72"/>
      </bottom>
    </border>
    <border>
      <left/>
      <right/>
      <top/>
      <bottom style="thin">
        <color rgb="007C8B72"/>
      </bottom>
      <diagonal/>
    </border>
    <border>
      <left style="thin">
        <color rgb="00EAE4D6"/>
      </left>
      <right style="thin">
        <color rgb="00EAE4D6"/>
      </right>
      <top style="thin">
        <color rgb="00EAE4D6"/>
      </top>
      <bottom style="thin">
        <color rgb="00EAE4D6"/>
      </bottom>
    </border>
    <border>
      <left/>
      <right/>
      <top style="thin">
        <color rgb="00EAE4D6"/>
      </top>
      <bottom/>
      <diagonal/>
    </border>
    <border>
      <left/>
      <right style="thin">
        <color rgb="00EAE4D6"/>
      </right>
      <top style="thin">
        <color rgb="00EAE4D6"/>
      </top>
      <bottom/>
      <diagonal/>
    </border>
    <border>
      <left/>
      <right style="thin">
        <color rgb="00EAE4D6"/>
      </right>
      <top style="thin">
        <color rgb="00EAE4D6"/>
      </top>
      <bottom style="thin">
        <color rgb="00EAE4D6"/>
      </bottom>
      <diagonal/>
    </border>
    <border>
      <left style="thin">
        <color rgb="00D8D1C0"/>
      </left>
      <right style="thin">
        <color rgb="00D8D1C0"/>
      </right>
      <top style="thin">
        <color rgb="00D8D1C0"/>
      </top>
      <bottom style="thin">
        <color rgb="00D8D1C0"/>
      </bottom>
    </border>
    <border>
      <left/>
      <right/>
      <top style="thin">
        <color rgb="00EAE4D6"/>
      </top>
      <bottom style="thin">
        <color rgb="00EAE4D6"/>
      </bottom>
      <diagonal/>
    </border>
    <border>
      <bottom style="medium">
        <color rgb="00B4713F"/>
      </bottom>
    </border>
    <border>
      <left/>
      <right/>
      <top/>
      <bottom style="medium">
        <color rgb="00B4713F"/>
      </bottom>
      <diagonal/>
    </border>
    <border>
      <top style="thin">
        <color rgb="007C8B72"/>
      </top>
      <bottom style="thin">
        <color rgb="00D8D1C0"/>
      </bottom>
    </border>
    <border>
      <left/>
      <right/>
      <top style="thin">
        <color rgb="007C8B72"/>
      </top>
      <bottom/>
      <diagonal/>
    </border>
    <border>
      <left/>
      <right/>
      <top style="thin">
        <color rgb="007C8B72"/>
      </top>
      <bottom style="thin">
        <color rgb="00D8D1C0"/>
      </bottom>
      <diagonal/>
    </border>
    <border>
      <left style="thin">
        <color rgb="001E2A26"/>
      </left>
      <right style="thin">
        <color rgb="001E2A26"/>
      </right>
      <top style="thin">
        <color rgb="001E2A26"/>
      </top>
      <bottom style="thin">
        <color rgb="001E2A26"/>
      </bottom>
    </border>
    <border>
      <left/>
      <right/>
      <top style="thin">
        <color rgb="001E2A26"/>
      </top>
      <bottom/>
      <diagonal/>
    </border>
    <border>
      <left/>
      <right style="thin">
        <color rgb="001E2A26"/>
      </right>
      <top style="thin">
        <color rgb="001E2A26"/>
      </top>
      <bottom/>
      <diagonal/>
    </border>
    <border>
      <left/>
      <right/>
      <top style="thin">
        <color rgb="001E2A26"/>
      </top>
      <bottom style="thin">
        <color rgb="001E2A26"/>
      </bottom>
      <diagonal/>
    </border>
    <border>
      <left/>
      <right style="thin">
        <color rgb="001E2A26"/>
      </right>
      <top style="thin">
        <color rgb="001E2A26"/>
      </top>
      <bottom style="thin">
        <color rgb="001E2A26"/>
      </bottom>
      <diagonal/>
    </border>
    <border>
      <left style="thin">
        <color rgb="007C8B72"/>
      </left>
      <right style="thin">
        <color rgb="007C8B72"/>
      </right>
      <top style="thin">
        <color rgb="007C8B72"/>
      </top>
      <bottom style="thin">
        <color rgb="007C8B72"/>
      </bottom>
    </border>
    <border>
      <left/>
      <right style="thin">
        <color rgb="007C8B72"/>
      </right>
      <top style="thin">
        <color rgb="007C8B72"/>
      </top>
      <bottom/>
      <diagonal/>
    </border>
    <border>
      <left/>
      <right/>
      <top style="thin">
        <color rgb="007C8B72"/>
      </top>
      <bottom style="thin">
        <color rgb="007C8B72"/>
      </bottom>
      <diagonal/>
    </border>
    <border>
      <left/>
      <right style="thin">
        <color rgb="007C8B72"/>
      </right>
      <top style="thin">
        <color rgb="007C8B72"/>
      </top>
      <bottom style="thin">
        <color rgb="007C8B72"/>
      </bottom>
      <diagonal/>
    </border>
    <border>
      <left/>
      <right/>
      <top style="thin">
        <color rgb="00D8D1C0"/>
      </top>
      <bottom/>
      <diagonal/>
    </border>
    <border>
      <left/>
      <right style="thin">
        <color rgb="00D8D1C0"/>
      </right>
      <top style="thin">
        <color rgb="00D8D1C0"/>
      </top>
      <bottom/>
      <diagonal/>
    </border>
    <border>
      <left/>
      <right/>
      <top style="thin">
        <color rgb="00D8D1C0"/>
      </top>
      <bottom style="thin">
        <color rgb="00D8D1C0"/>
      </bottom>
      <diagonal/>
    </border>
    <border>
      <left/>
      <right style="thin">
        <color rgb="00D8D1C0"/>
      </right>
      <top style="thin">
        <color rgb="00D8D1C0"/>
      </top>
      <bottom style="thin">
        <color rgb="00D8D1C0"/>
      </bottom>
      <diagonal/>
    </border>
    <border>
      <left style="dashed">
        <color rgb="00C0A163"/>
      </left>
      <right style="dashed">
        <color rgb="00C0A163"/>
      </right>
      <top style="dashed">
        <color rgb="00C0A163"/>
      </top>
      <bottom style="dashed">
        <color rgb="00C0A163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 readingOrder="1"/>
    </xf>
    <xf numFmtId="0" fontId="0" fillId="0" borderId="1" pivotButton="0" quotePrefix="0" xfId="0"/>
    <xf numFmtId="0" fontId="2" fillId="3" borderId="5" applyAlignment="1" pivotButton="0" quotePrefix="0" xfId="0">
      <alignment horizontal="center" vertical="center" readingOrder="1"/>
    </xf>
    <xf numFmtId="0" fontId="3" fillId="3" borderId="5" applyAlignment="1" pivotButton="0" quotePrefix="0" xfId="0">
      <alignment horizontal="center" vertical="center" readingOrder="1"/>
    </xf>
    <xf numFmtId="0" fontId="0" fillId="4" borderId="0" pivotButton="0" quotePrefix="0" xfId="0"/>
    <xf numFmtId="0" fontId="4" fillId="5" borderId="5" applyAlignment="1" pivotButton="0" quotePrefix="0" xfId="0">
      <alignment horizontal="center" vertical="center" readingOrder="1"/>
    </xf>
    <xf numFmtId="0" fontId="5" fillId="5" borderId="5" applyAlignment="1" pivotButton="0" quotePrefix="0" xfId="0">
      <alignment horizontal="center" vertical="center" readingOrder="1"/>
    </xf>
    <xf numFmtId="0" fontId="6" fillId="5" borderId="5" applyAlignment="1" pivotButton="0" quotePrefix="0" xfId="0">
      <alignment horizontal="center" vertical="center" readingOrder="1"/>
    </xf>
    <xf numFmtId="0" fontId="0" fillId="6" borderId="0" pivotButton="0" quotePrefix="0" xfId="0"/>
    <xf numFmtId="0" fontId="7" fillId="7" borderId="6" applyAlignment="1" pivotButton="0" quotePrefix="0" xfId="0">
      <alignment horizontal="right" vertical="center" readingOrder="2"/>
    </xf>
    <xf numFmtId="0" fontId="0" fillId="0" borderId="6" pivotButton="0" quotePrefix="0" xfId="0"/>
    <xf numFmtId="0" fontId="8" fillId="8" borderId="8" applyAlignment="1" pivotButton="0" quotePrefix="0" xfId="0">
      <alignment horizontal="general" vertical="center" wrapText="1" readingOrder="1"/>
    </xf>
    <xf numFmtId="0" fontId="0" fillId="0" borderId="8" pivotButton="0" quotePrefix="0" xfId="0"/>
    <xf numFmtId="0" fontId="9" fillId="9" borderId="8" applyAlignment="1" pivotButton="0" quotePrefix="0" xfId="0">
      <alignment horizontal="general" vertical="center" wrapText="1" readingOrder="1"/>
    </xf>
    <xf numFmtId="0" fontId="10" fillId="10" borderId="12" applyAlignment="1" pivotButton="0" quotePrefix="0" xfId="0">
      <alignment horizontal="center" vertical="center" wrapText="1" readingOrder="1"/>
    </xf>
    <xf numFmtId="0" fontId="6" fillId="9" borderId="8" applyAlignment="1" pivotButton="0" quotePrefix="0" xfId="0">
      <alignment horizontal="general" vertical="center" wrapText="1" readingOrder="1"/>
    </xf>
    <xf numFmtId="0" fontId="11" fillId="8" borderId="8" applyAlignment="1" pivotButton="0" quotePrefix="0" xfId="0">
      <alignment horizontal="general" vertical="center" wrapText="1" readingOrder="1"/>
    </xf>
    <xf numFmtId="0" fontId="11" fillId="9" borderId="8" applyAlignment="1" pivotButton="0" quotePrefix="0" xfId="0">
      <alignment horizontal="general" vertical="center" wrapText="1" readingOrder="1"/>
    </xf>
    <xf numFmtId="0" fontId="12" fillId="7" borderId="5" applyAlignment="1" pivotButton="0" quotePrefix="0" xfId="0">
      <alignment horizontal="center" vertical="center" wrapText="1" readingOrder="1"/>
    </xf>
    <xf numFmtId="0" fontId="12" fillId="7" borderId="0" applyAlignment="1" pivotButton="0" quotePrefix="0" xfId="0">
      <alignment horizontal="center" vertical="center" wrapText="1" readingOrder="1"/>
    </xf>
    <xf numFmtId="0" fontId="0" fillId="5" borderId="0" pivotButton="0" quotePrefix="0" xfId="0"/>
    <xf numFmtId="0" fontId="13" fillId="3" borderId="5" applyAlignment="1" pivotButton="0" quotePrefix="0" xfId="0">
      <alignment horizontal="center" vertical="center" readingOrder="1"/>
    </xf>
    <xf numFmtId="0" fontId="2" fillId="3" borderId="5" applyAlignment="1" pivotButton="0" quotePrefix="0" xfId="0">
      <alignment horizontal="general" vertical="center" readingOrder="1"/>
    </xf>
    <xf numFmtId="0" fontId="15" fillId="3" borderId="5" applyAlignment="1" pivotButton="0" quotePrefix="0" xfId="0">
      <alignment horizontal="center" vertical="center" readingOrder="1"/>
    </xf>
    <xf numFmtId="0" fontId="14" fillId="3" borderId="5" applyAlignment="1" pivotButton="0" quotePrefix="0" xfId="0">
      <alignment horizontal="center" vertical="center" readingOrder="1"/>
    </xf>
    <xf numFmtId="0" fontId="16" fillId="5" borderId="5" applyAlignment="1" pivotButton="0" quotePrefix="0" xfId="0">
      <alignment horizontal="center" vertical="center" wrapText="1" readingOrder="1"/>
    </xf>
    <xf numFmtId="0" fontId="17" fillId="10" borderId="12" applyAlignment="1" pivotButton="0" quotePrefix="0" xfId="0">
      <alignment horizontal="center" vertical="center" wrapText="1" readingOrder="1"/>
    </xf>
    <xf numFmtId="0" fontId="6" fillId="5" borderId="5" applyAlignment="1" pivotButton="0" quotePrefix="0" xfId="0">
      <alignment horizontal="general" vertical="center" wrapText="1" readingOrder="1"/>
    </xf>
    <xf numFmtId="0" fontId="6" fillId="5" borderId="0" applyAlignment="1" pivotButton="0" quotePrefix="0" xfId="0">
      <alignment horizontal="general" vertical="center" wrapText="1" readingOrder="1"/>
    </xf>
    <xf numFmtId="0" fontId="18" fillId="5" borderId="5" applyAlignment="1" pivotButton="0" quotePrefix="0" xfId="0">
      <alignment horizontal="general" vertical="center" wrapText="1" readingOrder="1"/>
    </xf>
    <xf numFmtId="0" fontId="19" fillId="9" borderId="12" applyAlignment="1" pivotButton="0" quotePrefix="0" xfId="0">
      <alignment horizontal="general" vertical="center" wrapText="1" readingOrder="1"/>
    </xf>
    <xf numFmtId="0" fontId="20" fillId="9" borderId="12" applyAlignment="1" pivotButton="0" quotePrefix="0" xfId="0">
      <alignment horizontal="general" vertical="center" wrapText="1" readingOrder="1"/>
    </xf>
    <xf numFmtId="0" fontId="19" fillId="8" borderId="12" applyAlignment="1" pivotButton="0" quotePrefix="0" xfId="0">
      <alignment horizontal="general" vertical="center" wrapText="1" readingOrder="1"/>
    </xf>
    <xf numFmtId="0" fontId="20" fillId="8" borderId="12" applyAlignment="1" pivotButton="0" quotePrefix="0" xfId="0">
      <alignment horizontal="general" vertical="center" wrapText="1" readingOrder="1"/>
    </xf>
    <xf numFmtId="0" fontId="21" fillId="9" borderId="12" applyAlignment="1" pivotButton="0" quotePrefix="0" xfId="0">
      <alignment horizontal="center" vertical="center" wrapText="1" readingOrder="1"/>
    </xf>
    <xf numFmtId="0" fontId="22" fillId="9" borderId="12" applyAlignment="1" pivotButton="0" quotePrefix="0" xfId="0">
      <alignment horizontal="general" vertical="center" wrapText="1" readingOrder="1"/>
    </xf>
    <xf numFmtId="0" fontId="9" fillId="9" borderId="12" applyAlignment="1" pivotButton="0" quotePrefix="0" xfId="0">
      <alignment horizontal="center" vertical="center" wrapText="1" readingOrder="1"/>
    </xf>
    <xf numFmtId="164" fontId="9" fillId="9" borderId="12" applyAlignment="1" pivotButton="0" quotePrefix="0" xfId="0">
      <alignment horizontal="center" vertical="center" wrapText="1" readingOrder="1"/>
    </xf>
    <xf numFmtId="0" fontId="23" fillId="9" borderId="12" applyAlignment="1" pivotButton="0" quotePrefix="0" xfId="0">
      <alignment horizontal="center" vertical="center" wrapText="1" readingOrder="1"/>
    </xf>
    <xf numFmtId="0" fontId="24" fillId="9" borderId="12" applyAlignment="1" pivotButton="0" quotePrefix="0" xfId="0">
      <alignment horizontal="general" vertical="center" wrapText="1" readingOrder="1"/>
    </xf>
    <xf numFmtId="0" fontId="21" fillId="8" borderId="12" applyAlignment="1" pivotButton="0" quotePrefix="0" xfId="0">
      <alignment horizontal="center" vertical="center" wrapText="1" readingOrder="1"/>
    </xf>
    <xf numFmtId="0" fontId="22" fillId="8" borderId="12" applyAlignment="1" pivotButton="0" quotePrefix="0" xfId="0">
      <alignment horizontal="general" vertical="center" wrapText="1" readingOrder="1"/>
    </xf>
    <xf numFmtId="0" fontId="9" fillId="8" borderId="12" applyAlignment="1" pivotButton="0" quotePrefix="0" xfId="0">
      <alignment horizontal="center" vertical="center" wrapText="1" readingOrder="1"/>
    </xf>
    <xf numFmtId="164" fontId="9" fillId="8" borderId="12" applyAlignment="1" pivotButton="0" quotePrefix="0" xfId="0">
      <alignment horizontal="center" vertical="center" wrapText="1" readingOrder="1"/>
    </xf>
    <xf numFmtId="0" fontId="23" fillId="8" borderId="12" applyAlignment="1" pivotButton="0" quotePrefix="0" xfId="0">
      <alignment horizontal="center" vertical="center" wrapText="1" readingOrder="1"/>
    </xf>
    <xf numFmtId="0" fontId="24" fillId="8" borderId="12" applyAlignment="1" pivotButton="0" quotePrefix="0" xfId="0">
      <alignment horizontal="general" vertical="center" wrapText="1" readingOrder="1"/>
    </xf>
    <xf numFmtId="0" fontId="25" fillId="8" borderId="12" applyAlignment="1" pivotButton="0" quotePrefix="0" xfId="0">
      <alignment horizontal="general" vertical="center" wrapText="1" readingOrder="1"/>
    </xf>
    <xf numFmtId="0" fontId="25" fillId="9" borderId="12" applyAlignment="1" pivotButton="0" quotePrefix="0" xfId="0">
      <alignment horizontal="general" vertical="center" wrapText="1" readingOrder="1"/>
    </xf>
    <xf numFmtId="0" fontId="18" fillId="5" borderId="0" applyAlignment="1" pivotButton="0" quotePrefix="0" xfId="0">
      <alignment horizontal="general" vertical="center" wrapText="1" readingOrder="1"/>
    </xf>
    <xf numFmtId="0" fontId="26" fillId="7" borderId="14" applyAlignment="1" pivotButton="0" quotePrefix="0" xfId="0">
      <alignment horizontal="general" vertical="center" wrapText="1" readingOrder="1"/>
    </xf>
    <xf numFmtId="0" fontId="8" fillId="8" borderId="12" applyAlignment="1" pivotButton="0" quotePrefix="0" xfId="0">
      <alignment horizontal="general" vertical="center" wrapText="1" readingOrder="1"/>
    </xf>
    <xf numFmtId="3" fontId="27" fillId="8" borderId="12" applyAlignment="1" pivotButton="0" quotePrefix="0" xfId="0">
      <alignment horizontal="center" vertical="center" wrapText="1" readingOrder="1"/>
    </xf>
    <xf numFmtId="0" fontId="8" fillId="9" borderId="12" applyAlignment="1" pivotButton="0" quotePrefix="0" xfId="0">
      <alignment horizontal="general" vertical="center" wrapText="1" readingOrder="1"/>
    </xf>
    <xf numFmtId="3" fontId="27" fillId="9" borderId="12" applyAlignment="1" pivotButton="0" quotePrefix="0" xfId="0">
      <alignment horizontal="center" vertical="center" wrapText="1" readingOrder="1"/>
    </xf>
    <xf numFmtId="0" fontId="20" fillId="8" borderId="16" applyAlignment="1" pivotButton="0" quotePrefix="0" xfId="0">
      <alignment horizontal="general" vertical="center" wrapText="1" readingOrder="1"/>
    </xf>
    <xf numFmtId="3" fontId="28" fillId="8" borderId="16" applyAlignment="1" pivotButton="0" quotePrefix="0" xfId="0">
      <alignment horizontal="center" vertical="center" wrapText="1" readingOrder="1"/>
    </xf>
    <xf numFmtId="0" fontId="29" fillId="8" borderId="16" applyAlignment="1" pivotButton="0" quotePrefix="0" xfId="0">
      <alignment horizontal="general" vertical="center" wrapText="1" readingOrder="1"/>
    </xf>
    <xf numFmtId="0" fontId="30" fillId="3" borderId="19" applyAlignment="1" pivotButton="0" quotePrefix="0" xfId="0">
      <alignment horizontal="general" vertical="center" wrapText="1" readingOrder="1"/>
    </xf>
    <xf numFmtId="3" fontId="31" fillId="3" borderId="19" applyAlignment="1" pivotButton="0" quotePrefix="0" xfId="0">
      <alignment horizontal="center" vertical="center" wrapText="1" readingOrder="1"/>
    </xf>
    <xf numFmtId="0" fontId="32" fillId="3" borderId="19" applyAlignment="1" pivotButton="0" quotePrefix="0" xfId="0">
      <alignment horizontal="center" vertical="center" wrapText="1" readingOrder="1"/>
    </xf>
    <xf numFmtId="0" fontId="33" fillId="8" borderId="24" applyAlignment="1" pivotButton="0" quotePrefix="0" xfId="0">
      <alignment horizontal="general" vertical="center" wrapText="1" readingOrder="1"/>
    </xf>
    <xf numFmtId="3" fontId="34" fillId="8" borderId="24" applyAlignment="1" pivotButton="0" quotePrefix="0" xfId="0">
      <alignment horizontal="center" vertical="center" wrapText="1" readingOrder="1"/>
    </xf>
    <xf numFmtId="0" fontId="35" fillId="8" borderId="24" applyAlignment="1" pivotButton="0" quotePrefix="0" xfId="0">
      <alignment horizontal="center" vertical="center" wrapText="1" readingOrder="1"/>
    </xf>
    <xf numFmtId="0" fontId="18" fillId="9" borderId="12" applyAlignment="1" pivotButton="0" quotePrefix="0" xfId="0">
      <alignment horizontal="general" vertical="center" wrapText="1" readingOrder="1"/>
    </xf>
    <xf numFmtId="0" fontId="18" fillId="8" borderId="12" applyAlignment="1" pivotButton="0" quotePrefix="0" xfId="0">
      <alignment horizontal="general" vertical="center" wrapText="1" readingOrder="1"/>
    </xf>
    <xf numFmtId="0" fontId="36" fillId="9" borderId="12" applyAlignment="1" pivotButton="0" quotePrefix="0" xfId="0">
      <alignment horizontal="center" vertical="center" wrapText="1" readingOrder="1"/>
    </xf>
    <xf numFmtId="0" fontId="36" fillId="8" borderId="12" applyAlignment="1" pivotButton="0" quotePrefix="0" xfId="0">
      <alignment horizontal="center" vertical="center" wrapText="1" readingOrder="1"/>
    </xf>
    <xf numFmtId="0" fontId="17" fillId="10" borderId="12" applyAlignment="1" pivotButton="0" quotePrefix="0" xfId="0">
      <alignment horizontal="center" vertical="center" wrapText="1" readingOrder="2"/>
    </xf>
    <xf numFmtId="0" fontId="0" fillId="10" borderId="12" pivotButton="0" quotePrefix="0" xfId="0"/>
    <xf numFmtId="0" fontId="17" fillId="5" borderId="5" applyAlignment="1" pivotButton="0" quotePrefix="0" xfId="0">
      <alignment horizontal="center" vertical="center" wrapText="1" readingOrder="1"/>
    </xf>
    <xf numFmtId="165" fontId="9" fillId="9" borderId="12" applyAlignment="1" pivotButton="0" quotePrefix="0" xfId="0">
      <alignment horizontal="center" vertical="center" wrapText="1" readingOrder="1"/>
    </xf>
    <xf numFmtId="0" fontId="29" fillId="9" borderId="12" applyAlignment="1" pivotButton="0" quotePrefix="0" xfId="0">
      <alignment horizontal="center" vertical="center" wrapText="1" readingOrder="1"/>
    </xf>
    <xf numFmtId="165" fontId="9" fillId="8" borderId="12" applyAlignment="1" pivotButton="0" quotePrefix="0" xfId="0">
      <alignment horizontal="center" vertical="center" wrapText="1" readingOrder="1"/>
    </xf>
    <xf numFmtId="0" fontId="29" fillId="8" borderId="12" applyAlignment="1" pivotButton="0" quotePrefix="0" xfId="0">
      <alignment horizontal="center" vertical="center" wrapText="1" readingOrder="1"/>
    </xf>
    <xf numFmtId="0" fontId="33" fillId="8" borderId="0" applyAlignment="1" pivotButton="0" quotePrefix="0" xfId="0">
      <alignment horizontal="general" vertical="center" wrapText="1" readingOrder="1"/>
    </xf>
    <xf numFmtId="9" fontId="37" fillId="11" borderId="32" applyAlignment="1" pivotButton="0" quotePrefix="0" xfId="0">
      <alignment horizontal="center" vertical="center" wrapText="1" readingOrder="1"/>
    </xf>
    <xf numFmtId="0" fontId="38" fillId="9" borderId="12" applyAlignment="1" pivotButton="0" quotePrefix="0" xfId="0">
      <alignment horizontal="center" vertical="center" wrapText="1" readingOrder="1"/>
    </xf>
    <xf numFmtId="3" fontId="39" fillId="3" borderId="19" applyAlignment="1" pivotButton="0" quotePrefix="0" xfId="0">
      <alignment horizontal="center" vertical="center" wrapText="1" readingOrder="1"/>
    </xf>
    <xf numFmtId="165" fontId="31" fillId="3" borderId="19" applyAlignment="1" pivotButton="0" quotePrefix="0" xfId="0">
      <alignment horizontal="center" vertical="center" wrapText="1" readingOrder="1"/>
    </xf>
    <xf numFmtId="0" fontId="40" fillId="3" borderId="19" applyAlignment="1" pivotButton="0" quotePrefix="0" xfId="0">
      <alignment horizontal="center" vertical="center" wrapText="1" readingOrder="1"/>
    </xf>
    <xf numFmtId="3" fontId="41" fillId="9" borderId="12" applyAlignment="1" pivotButton="0" quotePrefix="0" xfId="0">
      <alignment horizontal="center" vertical="center" wrapText="1" readingOrder="1"/>
    </xf>
    <xf numFmtId="165" fontId="41" fillId="9" borderId="12" applyAlignment="1" pivotButton="0" quotePrefix="0" xfId="0">
      <alignment horizontal="center" vertical="center" wrapText="1" readingOrder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سهم هزینه بخش‌ها  |  Section Cost Share (Toman)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B4713F"/>
            </a:solidFill>
            <a:ln>
              <a:solidFill>
                <a:srgbClr val="B4713F"/>
              </a:solidFill>
              <a:prstDash val="solid"/>
            </a:ln>
          </spPr>
          <cat>
            <strRef>
              <f>'09 | Cost Summary'!$A$6:$A$14</f>
            </strRef>
          </cat>
          <val>
            <numRef>
              <f>'09 | Cost Summary'!$B$6:$B$14</f>
            </numRef>
          </val>
        </ser>
        <dLbls>
          <numFmt formatCode="#,##0"/>
          <showVal val="1"/>
        </dLbls>
        <gapWidth val="55"/>
        <axId val="10"/>
        <axId val="100"/>
      </barChart>
      <catAx>
        <axId val="10"/>
        <scaling>
          <orientation val="maxMin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Section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AE4D6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Toman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5</row>
      <rowOff>0</rowOff>
    </from>
    <ext cx="5400000" cy="37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E2A26"/>
    <outlinePr summaryBelow="1" summaryRight="1"/>
    <pageSetUpPr fitToPage="1"/>
  </sheetPr>
  <dimension ref="A1:H32"/>
  <sheetViews>
    <sheetView showGridLines="0" rightToLeft="1" zoomScale="100" workbookViewId="0">
      <selection activeCell="A1" sqref="A1"/>
    </sheetView>
  </sheetViews>
  <sheetFormatPr baseColWidth="8" defaultRowHeight="15"/>
  <cols>
    <col width="13.5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</cols>
  <sheetData>
    <row r="1" ht="30" customHeight="1">
      <c r="A1" s="1" t="inlineStr">
        <is>
          <t>ME</t>
        </is>
      </c>
      <c r="B1" s="2" t="n"/>
      <c r="C1" s="3" t="inlineStr">
        <is>
          <t>MAJID EISAPOUR</t>
        </is>
      </c>
    </row>
    <row r="2" ht="26" customHeight="1">
      <c r="A2" s="2" t="n"/>
      <c r="B2" s="2" t="n"/>
      <c r="C2" s="4" t="inlineStr">
        <is>
          <t>Design &amp; Spatial Practice   |   استودیو طراحی و فضا</t>
        </is>
      </c>
    </row>
    <row r="3" ht="3.5" customHeight="1">
      <c r="A3" s="5" t="n"/>
      <c r="B3" s="5" t="n"/>
      <c r="C3" s="5" t="n"/>
      <c r="D3" s="5" t="n"/>
      <c r="E3" s="5" t="n"/>
      <c r="F3" s="5" t="n"/>
      <c r="G3" s="5" t="n"/>
      <c r="H3" s="5" t="n"/>
    </row>
    <row r="4" ht="8" customHeight="1"/>
    <row r="5" ht="36" customHeight="1">
      <c r="A5" s="6" t="inlineStr">
        <is>
          <t>LANDSCAPE DESIGN &amp; TECHNICAL BOQ</t>
        </is>
      </c>
    </row>
    <row r="6" ht="26" customHeight="1">
      <c r="A6" s="7" t="inlineStr">
        <is>
          <t>دفترچه طراحی منظر و برآورد فنی</t>
        </is>
      </c>
    </row>
    <row r="7" ht="18" customHeight="1">
      <c r="A7" s="8" t="inlineStr">
        <is>
          <t>حیاط پشتی ویلای مسکونی · قائم‌شهر، مازندران   |   Residential Backyard · Qaemshahr, Mazandaran   |   ≈ 495 m²</t>
        </is>
      </c>
    </row>
    <row r="8" ht="3.5" customHeight="1">
      <c r="A8" s="9" t="n"/>
      <c r="B8" s="9" t="n"/>
      <c r="C8" s="9" t="n"/>
      <c r="D8" s="9" t="n"/>
      <c r="E8" s="9" t="n"/>
      <c r="F8" s="9" t="n"/>
      <c r="G8" s="9" t="n"/>
      <c r="H8" s="9" t="n"/>
    </row>
    <row r="9" ht="10" customHeight="1"/>
    <row r="10" ht="22" customHeight="1">
      <c r="A10" s="10" t="inlineStr">
        <is>
          <t>شناسنامه سند  /  DOCUMENT CONTROL</t>
        </is>
      </c>
      <c r="B10" s="11" t="n"/>
      <c r="C10" s="11" t="n"/>
      <c r="D10" s="11" t="n"/>
      <c r="E10" s="11" t="n"/>
      <c r="F10" s="11" t="n"/>
      <c r="G10" s="11" t="n"/>
      <c r="H10" s="11" t="n"/>
    </row>
    <row r="11" ht="23" customHeight="1">
      <c r="A11" s="12" t="inlineStr">
        <is>
          <t>پروژه / Project</t>
        </is>
      </c>
      <c r="B11" s="13" t="n"/>
      <c r="C11" s="14" t="inlineStr">
        <is>
          <t>حیاط پشتی ویلای مسکونی — Residential Backyard Villa</t>
        </is>
      </c>
      <c r="D11" s="13" t="n"/>
      <c r="E11" s="12" t="inlineStr">
        <is>
          <t>کارفرما / Client</t>
        </is>
      </c>
      <c r="F11" s="13" t="n"/>
      <c r="G11" s="14" t="inlineStr">
        <is>
          <t>—</t>
        </is>
      </c>
      <c r="H11" s="13" t="n"/>
    </row>
    <row r="12" ht="23" customHeight="1">
      <c r="A12" s="12" t="inlineStr">
        <is>
          <t>مکان / Location</t>
        </is>
      </c>
      <c r="B12" s="13" t="n"/>
      <c r="C12" s="14" t="inlineStr">
        <is>
          <t>قائمشهر، مازندران / Qaemshahr, Mazandaran</t>
        </is>
      </c>
      <c r="D12" s="13" t="n"/>
      <c r="E12" s="12" t="inlineStr">
        <is>
          <t>مساحت سایت / Site Area</t>
        </is>
      </c>
      <c r="F12" s="13" t="n"/>
      <c r="G12" s="14" t="inlineStr">
        <is>
          <t>≈ 495 m²</t>
        </is>
      </c>
      <c r="H12" s="13" t="n"/>
    </row>
    <row r="13" ht="23" customHeight="1">
      <c r="A13" s="12" t="inlineStr">
        <is>
          <t>شماره سند / Doc No.</t>
        </is>
      </c>
      <c r="B13" s="13" t="n"/>
      <c r="C13" s="14" t="inlineStr">
        <is>
          <t>ME-LS-00  ·  Rev 02</t>
        </is>
      </c>
      <c r="D13" s="13" t="n"/>
      <c r="E13" s="12" t="inlineStr">
        <is>
          <t>تاریخ / Date</t>
        </is>
      </c>
      <c r="F13" s="13" t="n"/>
      <c r="G13" s="14" t="inlineStr">
        <is>
          <t>1405/07 · Oct 2026</t>
        </is>
      </c>
      <c r="H13" s="13" t="n"/>
    </row>
    <row r="14" ht="23" customHeight="1">
      <c r="A14" s="12" t="inlineStr">
        <is>
          <t>وضعیت / Status</t>
        </is>
      </c>
      <c r="B14" s="13" t="n"/>
      <c r="C14" s="14" t="inlineStr">
        <is>
          <t>جهت استعلام / Issued for Pricing</t>
        </is>
      </c>
      <c r="D14" s="13" t="n"/>
      <c r="E14" s="12" t="inlineStr">
        <is>
          <t>واحد پول / Currency</t>
        </is>
      </c>
      <c r="F14" s="13" t="n"/>
      <c r="G14" s="14" t="inlineStr">
        <is>
          <t>تومان / Toman</t>
        </is>
      </c>
      <c r="H14" s="13" t="n"/>
    </row>
    <row r="15" ht="23" customHeight="1">
      <c r="A15" s="12" t="inlineStr">
        <is>
          <t>تهیه و طراحی / Prepared &amp; Designed by</t>
        </is>
      </c>
      <c r="B15" s="13" t="n"/>
      <c r="C15" s="14" t="inlineStr">
        <is>
          <t>MAJID EISAPOUR</t>
        </is>
      </c>
      <c r="D15" s="13" t="n"/>
      <c r="E15" s="12" t="inlineStr">
        <is>
          <t>سطح خدمات / Deliverable</t>
        </is>
      </c>
      <c r="F15" s="13" t="n"/>
      <c r="G15" s="14" t="inlineStr">
        <is>
          <t>Concept + BOQ + Technical Notes</t>
        </is>
      </c>
      <c r="H15" s="13" t="n"/>
    </row>
    <row r="16" ht="22" customHeight="1">
      <c r="A16" s="10" t="inlineStr">
        <is>
          <t>فهرست مطالب  /  CONTENTS</t>
        </is>
      </c>
      <c r="B16" s="11" t="n"/>
      <c r="C16" s="11" t="n"/>
      <c r="D16" s="11" t="n"/>
      <c r="E16" s="11" t="n"/>
      <c r="F16" s="11" t="n"/>
      <c r="G16" s="11" t="n"/>
      <c r="H16" s="11" t="n"/>
    </row>
    <row r="17" ht="20" customHeight="1">
      <c r="A17" s="15" t="inlineStr">
        <is>
          <t>00</t>
        </is>
      </c>
      <c r="B17" s="16" t="inlineStr">
        <is>
          <t>جلد و هویت / Cover &amp; Identity</t>
        </is>
      </c>
      <c r="C17" s="13" t="n"/>
      <c r="D17" s="13" t="n"/>
      <c r="E17" s="13" t="n"/>
      <c r="F17" s="13" t="n"/>
      <c r="G17" s="13" t="n"/>
      <c r="H17" s="13" t="n"/>
    </row>
    <row r="18" ht="20" customHeight="1">
      <c r="A18" s="15" t="inlineStr">
        <is>
          <t>01</t>
        </is>
      </c>
      <c r="B18" s="17" t="inlineStr">
        <is>
          <t>شناسنامه پروژه / Project Information</t>
        </is>
      </c>
      <c r="C18" s="13" t="n"/>
      <c r="D18" s="13" t="n"/>
      <c r="E18" s="13" t="n"/>
      <c r="F18" s="13" t="n"/>
      <c r="G18" s="13" t="n"/>
      <c r="H18" s="13" t="n"/>
    </row>
    <row r="19" ht="20" customHeight="1">
      <c r="A19" s="15" t="inlineStr">
        <is>
          <t>02</t>
        </is>
      </c>
      <c r="B19" s="18" t="inlineStr">
        <is>
          <t>روایت و ایده طراحی / Design Narrative</t>
        </is>
      </c>
      <c r="C19" s="13" t="n"/>
      <c r="D19" s="13" t="n"/>
      <c r="E19" s="13" t="n"/>
      <c r="F19" s="13" t="n"/>
      <c r="G19" s="13" t="n"/>
      <c r="H19" s="13" t="n"/>
    </row>
    <row r="20" ht="20" customHeight="1">
      <c r="A20" s="15" t="inlineStr">
        <is>
          <t>03</t>
        </is>
      </c>
      <c r="B20" s="17" t="inlineStr">
        <is>
          <t>مبنای طراحی و دامنه کار / Design Basis &amp; Scope</t>
        </is>
      </c>
      <c r="C20" s="13" t="n"/>
      <c r="D20" s="13" t="n"/>
      <c r="E20" s="13" t="n"/>
      <c r="F20" s="13" t="n"/>
      <c r="G20" s="13" t="n"/>
      <c r="H20" s="13" t="n"/>
    </row>
    <row r="21" ht="20" customHeight="1">
      <c r="A21" s="15" t="inlineStr">
        <is>
          <t>04</t>
        </is>
      </c>
      <c r="B21" s="18" t="inlineStr">
        <is>
          <t>جدول مقادیر و برآورد / Bill of Quantities</t>
        </is>
      </c>
      <c r="C21" s="13" t="n"/>
      <c r="D21" s="13" t="n"/>
      <c r="E21" s="13" t="n"/>
      <c r="F21" s="13" t="n"/>
      <c r="G21" s="13" t="n"/>
      <c r="H21" s="13" t="n"/>
    </row>
    <row r="22" ht="20" customHeight="1">
      <c r="A22" s="15" t="inlineStr">
        <is>
          <t>05</t>
        </is>
      </c>
      <c r="B22" s="17" t="inlineStr">
        <is>
          <t>جدول متریال / Material Schedule</t>
        </is>
      </c>
      <c r="C22" s="13" t="n"/>
      <c r="D22" s="13" t="n"/>
      <c r="E22" s="13" t="n"/>
      <c r="F22" s="13" t="n"/>
      <c r="G22" s="13" t="n"/>
      <c r="H22" s="13" t="n"/>
    </row>
    <row r="23" ht="20" customHeight="1">
      <c r="A23" s="15" t="inlineStr">
        <is>
          <t>06</t>
        </is>
      </c>
      <c r="B23" s="18" t="inlineStr">
        <is>
          <t>پالت کاشت / Planting Schedule</t>
        </is>
      </c>
      <c r="C23" s="13" t="n"/>
      <c r="D23" s="13" t="n"/>
      <c r="E23" s="13" t="n"/>
      <c r="F23" s="13" t="n"/>
      <c r="G23" s="13" t="n"/>
      <c r="H23" s="13" t="n"/>
    </row>
    <row r="24" ht="20" customHeight="1">
      <c r="A24" s="15" t="inlineStr">
        <is>
          <t>07</t>
        </is>
      </c>
      <c r="B24" s="17" t="inlineStr">
        <is>
          <t>نورپردازی و آبیاری / Lighting &amp; Irrigation</t>
        </is>
      </c>
      <c r="C24" s="13" t="n"/>
      <c r="D24" s="13" t="n"/>
      <c r="E24" s="13" t="n"/>
      <c r="F24" s="13" t="n"/>
      <c r="G24" s="13" t="n"/>
      <c r="H24" s="13" t="n"/>
    </row>
    <row r="25" ht="20" customHeight="1">
      <c r="A25" s="15" t="inlineStr">
        <is>
          <t>08</t>
        </is>
      </c>
      <c r="B25" s="18" t="inlineStr">
        <is>
          <t>یادداشت‌های اجرایی / Technical Notes &amp; QA</t>
        </is>
      </c>
      <c r="C25" s="13" t="n"/>
      <c r="D25" s="13" t="n"/>
      <c r="E25" s="13" t="n"/>
      <c r="F25" s="13" t="n"/>
      <c r="G25" s="13" t="n"/>
      <c r="H25" s="13" t="n"/>
    </row>
    <row r="26" ht="20" customHeight="1">
      <c r="A26" s="15" t="inlineStr">
        <is>
          <t>09</t>
        </is>
      </c>
      <c r="B26" s="17" t="inlineStr">
        <is>
          <t>خلاصه هزینه / Cost Summary &amp; Control</t>
        </is>
      </c>
      <c r="C26" s="13" t="n"/>
      <c r="D26" s="13" t="n"/>
      <c r="E26" s="13" t="n"/>
      <c r="F26" s="13" t="n"/>
      <c r="G26" s="13" t="n"/>
      <c r="H26" s="13" t="n"/>
    </row>
    <row r="27" ht="20" customHeight="1">
      <c r="A27" s="15" t="inlineStr">
        <is>
          <t>10</t>
        </is>
      </c>
      <c r="B27" s="18" t="inlineStr">
        <is>
          <t>تاریخچه نسخه‌ها / Revision Log</t>
        </is>
      </c>
      <c r="C27" s="13" t="n"/>
      <c r="D27" s="13" t="n"/>
      <c r="E27" s="13" t="n"/>
      <c r="F27" s="13" t="n"/>
      <c r="G27" s="13" t="n"/>
      <c r="H27" s="13" t="n"/>
    </row>
    <row r="29">
      <c r="A29" s="10" t="inlineStr">
        <is>
          <t>بیانیه طراحی  /  DESIGN STATEMENT</t>
        </is>
      </c>
      <c r="B29" s="11" t="n"/>
      <c r="C29" s="11" t="n"/>
      <c r="D29" s="11" t="n"/>
      <c r="E29" s="11" t="n"/>
      <c r="F29" s="11" t="n"/>
      <c r="G29" s="11" t="n"/>
      <c r="H29" s="11" t="n"/>
    </row>
    <row r="30" ht="62" customHeight="1">
      <c r="A30" s="19" t="inlineStr">
        <is>
          <t>«فضا فقط ساخته نمی‌شود؛ طراحی می‌شود، تجربه می‌شود و به بخشی از زندگی تبدیل می‌شود.»
“Space is not merely built; it is designed, experienced, and made part of everyday life.”</t>
        </is>
      </c>
      <c r="B30" s="20" t="n"/>
      <c r="C30" s="20" t="n"/>
      <c r="D30" s="20" t="n"/>
      <c r="E30" s="20" t="n"/>
      <c r="F30" s="20" t="n"/>
      <c r="G30" s="20" t="n"/>
      <c r="H30" s="20" t="n"/>
    </row>
    <row r="31" ht="6" customHeight="1">
      <c r="A31" s="21" t="n"/>
      <c r="B31" s="21" t="n"/>
      <c r="C31" s="21" t="n"/>
      <c r="D31" s="21" t="n"/>
      <c r="E31" s="21" t="n"/>
      <c r="F31" s="21" t="n"/>
      <c r="G31" s="21" t="n"/>
      <c r="H31" s="21" t="n"/>
    </row>
    <row r="32" ht="16" customHeight="1">
      <c r="A32" s="22" t="inlineStr">
        <is>
          <t>MAJID EISAPOUR  ·  DESIGN &amp; SPATIAL PRACTICE   |   DOC ME-LS-00  ·  REV 02  ·  1405   |   CONFIDENTIAL — PREPARED FOR CLIENT REVIEW</t>
        </is>
      </c>
    </row>
  </sheetData>
  <mergeCells count="42">
    <mergeCell ref="E12:F12"/>
    <mergeCell ref="G12:H12"/>
    <mergeCell ref="A30:H30"/>
    <mergeCell ref="A15:B15"/>
    <mergeCell ref="C15:D15"/>
    <mergeCell ref="A11:B11"/>
    <mergeCell ref="G11:H11"/>
    <mergeCell ref="C14:D14"/>
    <mergeCell ref="B24:H24"/>
    <mergeCell ref="E14:F14"/>
    <mergeCell ref="B20:H20"/>
    <mergeCell ref="A6:H6"/>
    <mergeCell ref="C2:H2"/>
    <mergeCell ref="B26:H26"/>
    <mergeCell ref="A7:H7"/>
    <mergeCell ref="A16:H16"/>
    <mergeCell ref="E13:F13"/>
    <mergeCell ref="G13:H13"/>
    <mergeCell ref="B25:H25"/>
    <mergeCell ref="A12:B12"/>
    <mergeCell ref="B22:H22"/>
    <mergeCell ref="C12:D12"/>
    <mergeCell ref="B18:H18"/>
    <mergeCell ref="E15:F15"/>
    <mergeCell ref="B27:H27"/>
    <mergeCell ref="C11:D11"/>
    <mergeCell ref="G15:H15"/>
    <mergeCell ref="B21:H21"/>
    <mergeCell ref="E11:F11"/>
    <mergeCell ref="A14:B14"/>
    <mergeCell ref="G14:H14"/>
    <mergeCell ref="A5:H5"/>
    <mergeCell ref="A1:B2"/>
    <mergeCell ref="A32:H32"/>
    <mergeCell ref="B23:H23"/>
    <mergeCell ref="B17:H17"/>
    <mergeCell ref="A29:H29"/>
    <mergeCell ref="A10:H10"/>
    <mergeCell ref="A13:B13"/>
    <mergeCell ref="C13:D13"/>
    <mergeCell ref="B19:H19"/>
    <mergeCell ref="C1:H1"/>
  </mergeCells>
  <hyperlinks>
    <hyperlink ref="B18" location="'01 | Project Info'!A1"/>
    <hyperlink ref="B19" location="'02 | Design Narrative'!A1"/>
    <hyperlink ref="B20" location="'03 | Design Basis'!A1"/>
    <hyperlink ref="B21" location="'04 | BOQ | برآورد'!A1"/>
    <hyperlink ref="B22" location="'05 | Material Schedule'!A1"/>
    <hyperlink ref="B23" location="'06 | Planting Schedule'!A1"/>
    <hyperlink ref="B24" location="'07 | Lighting &amp; Irrigation'!A1"/>
    <hyperlink ref="B25" location="'08 | Technical Notes'!A1"/>
    <hyperlink ref="B26" location="'09 | Cost Summary'!A1"/>
    <hyperlink ref="B27" location="'10 | Revision Log'!A1"/>
  </hyperlinks>
  <printOptions horizontalCentered="1"/>
  <pageMargins left="0.35" right="0.35" top="0.45" bottom="0.45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tabColor rgb="001E2A26"/>
    <outlinePr summaryBelow="1" summaryRight="1"/>
    <pageSetUpPr fitToPage="1"/>
  </sheetPr>
  <dimension ref="A1:H13"/>
  <sheetViews>
    <sheetView showGridLines="0" rightToLeft="1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.5" customWidth="1" min="1" max="1"/>
    <col width="17.5" customWidth="1" min="2" max="2"/>
    <col width="17.5" customWidth="1" min="3" max="3"/>
    <col width="17.5" customWidth="1" min="4" max="4"/>
    <col width="17.5" customWidth="1" min="5" max="5"/>
    <col width="17.5" customWidth="1" min="6" max="6"/>
    <col width="17.5" customWidth="1" min="7" max="7"/>
    <col width="17.5" customWidth="1" min="8" max="8"/>
  </cols>
  <sheetData>
    <row r="1" ht="38" customHeight="1">
      <c r="A1" s="23" t="inlineStr">
        <is>
          <t>PROJECT INFORMATION</t>
        </is>
      </c>
      <c r="F1" s="24" t="inlineStr">
        <is>
          <t>ME-LS-01</t>
        </is>
      </c>
    </row>
    <row r="2" ht="22" customHeight="1">
      <c r="A2" s="25" t="inlineStr">
        <is>
          <t>مشخصات پروژه</t>
        </is>
      </c>
      <c r="F2" s="24" t="inlineStr">
        <is>
          <t>REV 02 · 1405/07 · Oct 2026</t>
        </is>
      </c>
    </row>
    <row r="3" ht="19" customHeight="1">
      <c r="A3" s="26" t="inlineStr">
        <is>
          <t>A concise bilingual project identity sheet  |  شناسنامه پروژه</t>
        </is>
      </c>
    </row>
    <row r="4" ht="3.5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26" customHeight="1">
      <c r="A5" s="27" t="inlineStr">
        <is>
          <t>عنوان / Title</t>
        </is>
      </c>
      <c r="B5" s="27" t="inlineStr">
        <is>
          <t>مقدار / Value</t>
        </is>
      </c>
      <c r="C5" s="27" t="inlineStr">
        <is>
          <t>عنوان / Title</t>
        </is>
      </c>
      <c r="D5" s="27" t="inlineStr">
        <is>
          <t>مقدار / Value</t>
        </is>
      </c>
      <c r="E5" s="27" t="inlineStr">
        <is>
          <t>عنوان / Title</t>
        </is>
      </c>
      <c r="F5" s="27" t="inlineStr">
        <is>
          <t>مقدار / Value</t>
        </is>
      </c>
      <c r="G5" s="27" t="inlineStr">
        <is>
          <t>عنوان / Title</t>
        </is>
      </c>
      <c r="H5" s="27" t="inlineStr">
        <is>
          <t>مقدار / Value</t>
        </is>
      </c>
    </row>
    <row r="6" ht="40" customHeight="1">
      <c r="A6" s="12" t="inlineStr">
        <is>
          <t>کارفرما / Client</t>
        </is>
      </c>
      <c r="B6" s="14" t="inlineStr">
        <is>
          <t>—</t>
        </is>
      </c>
      <c r="C6" s="12" t="inlineStr">
        <is>
          <t>مکان / Location</t>
        </is>
      </c>
      <c r="D6" s="14" t="inlineStr">
        <is>
          <t>قائم‌شهر، مازندران / Qaemshahr, Mazandaran</t>
        </is>
      </c>
      <c r="E6" s="12" t="inlineStr">
        <is>
          <t>مساحت سایت / Site Area</t>
        </is>
      </c>
      <c r="F6" s="14" t="inlineStr">
        <is>
          <t>≈ 495 m²</t>
        </is>
      </c>
      <c r="G6" s="12" t="inlineStr">
        <is>
          <t>تاریخ / Date</t>
        </is>
      </c>
      <c r="H6" s="14" t="inlineStr">
        <is>
          <t>1405 / 2026</t>
        </is>
      </c>
    </row>
    <row r="7" ht="40" customHeight="1">
      <c r="A7" s="12" t="inlineStr">
        <is>
          <t>نوع پروژه / Project Type</t>
        </is>
      </c>
      <c r="B7" s="14" t="inlineStr">
        <is>
          <t>طراحی منظر حیاط ویلایی / Residential Backyard Landscape</t>
        </is>
      </c>
      <c r="C7" s="12" t="inlineStr">
        <is>
          <t>زبان طراحی / Design Language</t>
        </is>
      </c>
      <c r="D7" s="14" t="inlineStr">
        <is>
          <t>Contemporary • Natural • Architectural</t>
        </is>
      </c>
      <c r="E7" s="12" t="inlineStr">
        <is>
          <t>مقیاس مبنا / Working Scale</t>
        </is>
      </c>
      <c r="F7" s="14" t="inlineStr">
        <is>
          <t>1:100 Concept</t>
        </is>
      </c>
      <c r="G7" s="12" t="inlineStr">
        <is>
          <t>نسخه / Revision</t>
        </is>
      </c>
      <c r="H7" s="14" t="inlineStr">
        <is>
          <t>02</t>
        </is>
      </c>
    </row>
    <row r="8" ht="40" customHeight="1">
      <c r="A8" s="12" t="inlineStr">
        <is>
          <t>رویکرد / Approach</t>
        </is>
      </c>
      <c r="B8" s="14" t="inlineStr">
        <is>
          <t>Outdoor Room / اتاقِ بیرونی</t>
        </is>
      </c>
      <c r="C8" s="12" t="inlineStr">
        <is>
          <t>برنامه / Program</t>
        </is>
      </c>
      <c r="D8" s="14" t="inlineStr">
        <is>
          <t>Kitchen Garden + Social Space + Pavilion</t>
        </is>
      </c>
      <c r="E8" s="12" t="inlineStr">
        <is>
          <t>سطح خدمات / Deliverable</t>
        </is>
      </c>
      <c r="F8" s="14" t="inlineStr">
        <is>
          <t>Concept + BOQ + Technical Notes</t>
        </is>
      </c>
      <c r="G8" s="12" t="inlineStr">
        <is>
          <t>تهیه‌کننده / Prepared by</t>
        </is>
      </c>
      <c r="H8" s="14" t="inlineStr">
        <is>
          <t>MAJID EISAPOUR</t>
        </is>
      </c>
    </row>
    <row r="9" ht="40" customHeight="1">
      <c r="A9" s="12" t="inlineStr">
        <is>
          <t>واحد پول / Currency</t>
        </is>
      </c>
      <c r="B9" s="14" t="inlineStr">
        <is>
          <t>تومان / Toman</t>
        </is>
      </c>
      <c r="C9" s="12" t="inlineStr">
        <is>
          <t>وضعیت مدرک / Document Status</t>
        </is>
      </c>
      <c r="D9" s="14" t="inlineStr">
        <is>
          <t>جهت استعلام / Issued for Pricing</t>
        </is>
      </c>
      <c r="E9" s="12" t="inlineStr">
        <is>
          <t>شماره سند / Doc No.</t>
        </is>
      </c>
      <c r="F9" s="14" t="inlineStr">
        <is>
          <t>ME-LS-01 · Rev 02</t>
        </is>
      </c>
      <c r="G9" s="12" t="inlineStr">
        <is>
          <t>مبنای قیمت / Pricing Basis</t>
        </is>
      </c>
      <c r="H9" s="14" t="inlineStr">
        <is>
          <t>برآورد تفصیلی — بدون مالیات بر ارزش افزوده</t>
        </is>
      </c>
    </row>
    <row r="11">
      <c r="A11" s="10" t="inlineStr">
        <is>
          <t>هویت طراحی / Design Identity</t>
        </is>
      </c>
      <c r="B11" s="11" t="n"/>
      <c r="C11" s="11" t="n"/>
      <c r="D11" s="11" t="n"/>
      <c r="E11" s="11" t="n"/>
      <c r="F11" s="11" t="n"/>
      <c r="G11" s="11" t="n"/>
      <c r="H11" s="11" t="n"/>
    </row>
    <row r="12" ht="108" customHeight="1">
      <c r="A12" s="28" t="inlineStr">
        <is>
          <t>Design Identity / هویت طراحی
A calm, contemporary garden organized as an outdoor room: productive planting to the north, a generous green heart at the center, and an architectural social space toward the south-west. The service edge remains intact and is treated as an existing condition rather than a redesign scope.
باغی معاصر و آرام که همچون یک اتاقِ بیرونی سازمان‌دهی شده است: باغ سبزیِ کاربردی در شمال، قلب سبز و باز در مرکز، و فضای اجتماعیِ معماری‌شده در جنوب‌غرب. لبه خدماتی موجود دست‌نخورده باقی می‌ماند و صرفاً به‌عنوان یک وضعیت موجود در نظر گرفته شده است.</t>
        </is>
      </c>
      <c r="B12" s="29" t="n"/>
      <c r="C12" s="29" t="n"/>
      <c r="D12" s="29" t="n"/>
      <c r="E12" s="29" t="n"/>
      <c r="F12" s="29" t="n"/>
      <c r="G12" s="29" t="n"/>
      <c r="H12" s="29" t="n"/>
    </row>
    <row r="13" ht="16" customHeight="1">
      <c r="A13" s="30" t="inlineStr">
        <is>
          <t>تمام مقادیر و مبالغ این دفترچه از مبانی برگه ۰۳ استخراج شده‌اند؛ برای جزئیات به برگه‌های ۰۴ تا ۰۹ مراجعه شود.</t>
        </is>
      </c>
    </row>
  </sheetData>
  <mergeCells count="8">
    <mergeCell ref="A12:H12"/>
    <mergeCell ref="A3:H3"/>
    <mergeCell ref="A2:E2"/>
    <mergeCell ref="F1:H1"/>
    <mergeCell ref="A1:E1"/>
    <mergeCell ref="F2:H2"/>
    <mergeCell ref="A11:H11"/>
    <mergeCell ref="A13:H13"/>
  </mergeCells>
  <printOptions horizontalCentered="1"/>
  <pageMargins left="0.35" right="0.35" top="0.45" bottom="0.45" header="0.2" footer="0.2"/>
  <pageSetup orientation="landscape" paperSize="9" fitToHeight="0" fitToWidth="1"/>
  <headerFooter>
    <oddHeader>&amp;L&amp;8 &amp;K59684FMAJID EISAPOUR   ·   Design &amp;&amp; Spatial Practice&amp;R&amp;8 &amp;K59684FBACKYARD LANDSCAPE · QAEMSHAHR   |   ME-LS-01   |   REV 02</oddHeader>
    <oddFooter>&amp;L&amp;8 &amp;K7C8B72Landscape Design &amp;&amp; Technical BOQ  —  دفترچه طراحی منظر و برآورد فنی&amp;R&amp;8 &amp;K7C8B72&amp;A   ·  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7C8B72"/>
    <outlinePr summaryBelow="1" summaryRight="1"/>
    <pageSetUpPr fitToPage="1"/>
  </sheetPr>
  <dimension ref="A1:D12"/>
  <sheetViews>
    <sheetView showGridLines="0" rightToLeft="1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33" customWidth="1" min="3" max="3"/>
    <col width="72" customWidth="1" min="4" max="4"/>
  </cols>
  <sheetData>
    <row r="1" ht="38" customHeight="1">
      <c r="A1" s="23" t="inlineStr">
        <is>
          <t>DESIGN NARRATIVE</t>
        </is>
      </c>
      <c r="C1" s="24" t="inlineStr">
        <is>
          <t>ME-LS-02</t>
        </is>
      </c>
    </row>
    <row r="2" ht="22" customHeight="1">
      <c r="A2" s="25" t="inlineStr">
        <is>
          <t>روایت و ایده طراحی</t>
        </is>
      </c>
      <c r="C2" s="24" t="inlineStr">
        <is>
          <t>REV 02</t>
        </is>
      </c>
    </row>
    <row r="3" ht="19" customHeight="1">
      <c r="A3" s="26" t="inlineStr">
        <is>
          <t>Concept, atmosphere and spatial sequence  |  روایت، اتمسفر و توالی فضایی</t>
        </is>
      </c>
    </row>
    <row r="4" ht="3.5" customHeight="1">
      <c r="A4" s="5" t="n"/>
      <c r="B4" s="5" t="n"/>
      <c r="C4" s="5" t="n"/>
      <c r="D4" s="5" t="n"/>
    </row>
    <row r="5" ht="28" customHeight="1">
      <c r="A5" s="27" t="inlineStr">
        <is>
          <t>ID</t>
        </is>
      </c>
      <c r="B5" s="27" t="inlineStr">
        <is>
          <t>موضوع / Topic</t>
        </is>
      </c>
      <c r="C5" s="27" t="inlineStr">
        <is>
          <t>عنوان / Title</t>
        </is>
      </c>
      <c r="D5" s="27" t="inlineStr">
        <is>
          <t>متن حرفه‌ای / Professional Narrative</t>
        </is>
      </c>
    </row>
    <row r="6" ht="74" customHeight="1">
      <c r="A6" s="15" t="inlineStr">
        <is>
          <t>01</t>
        </is>
      </c>
      <c r="B6" s="31" t="inlineStr">
        <is>
          <t>ایده مرکزی / Core Idea</t>
        </is>
      </c>
      <c r="C6" s="32" t="inlineStr">
        <is>
          <t>OUTDOOR ROOM — اتاقِ بیرونی</t>
        </is>
      </c>
      <c r="D6" s="31" t="inlineStr">
        <is>
          <t>The garden is conceived as an extension of domestic life, not as a collection of isolated objects.
باغ به‌عنوان امتداد زندگی روزمره طراحی شده است، نه مجموعه‌ای از عناصر جدا از هم.</t>
        </is>
      </c>
    </row>
    <row r="7" ht="74" customHeight="1">
      <c r="A7" s="15" t="inlineStr">
        <is>
          <t>02</t>
        </is>
      </c>
      <c r="B7" s="33" t="inlineStr">
        <is>
          <t>توالی ورود / Arrival Sequence</t>
        </is>
      </c>
      <c r="C7" s="34" t="inlineStr">
        <is>
          <t>FROM PARKING TO GARDEN — از مسیر به باغ</t>
        </is>
      </c>
      <c r="D7" s="33" t="inlineStr">
        <is>
          <t>The entrance begins directly from the parking corridor; the path becomes a spatial threshold through texture, planting and controlled views.
ورودی مستقیماً از مسیر پارکینگ آغاز می‌شود و با تغییر بافت، کاشت و کنترل دید به یک آستانه فضایی تبدیل می‌شود.</t>
        </is>
      </c>
    </row>
    <row r="8" ht="74" customHeight="1">
      <c r="A8" s="15" t="inlineStr">
        <is>
          <t>03</t>
        </is>
      </c>
      <c r="B8" s="31" t="inlineStr">
        <is>
          <t>قلب سبز / Green Heart</t>
        </is>
      </c>
      <c r="C8" s="32" t="inlineStr">
        <is>
          <t>OPEN LAWN — میدان سبز</t>
        </is>
      </c>
      <c r="D8" s="31" t="inlineStr">
        <is>
          <t>A quiet central clearing balances the hardscape and gives the garden visual breathing room.
فضای سبز مرکزی، تعادل میان کف‌سازی و کاشت را برقرار کرده و به باغ فرصت تنفس بصری می‌دهد.</t>
        </is>
      </c>
    </row>
    <row r="9" ht="74" customHeight="1">
      <c r="A9" s="15" t="inlineStr">
        <is>
          <t>04</t>
        </is>
      </c>
      <c r="B9" s="33" t="inlineStr">
        <is>
          <t>فضای زندگی / Living Space</t>
        </is>
      </c>
      <c r="C9" s="34" t="inlineStr">
        <is>
          <t>PAVILION + TERRACE — پاویون و تراس</t>
        </is>
      </c>
      <c r="D9" s="33" t="inlineStr">
        <is>
          <t>A compact architectural pavilion and open terrace form one continuous social composition.
پاویون و تراس باز به‌عنوان یک ترکیب پیوسته برای نشستن، گفت‌وگو و مکث شکل می‌گیرند.</t>
        </is>
      </c>
    </row>
    <row r="10" ht="74" customHeight="1">
      <c r="A10" s="15" t="inlineStr">
        <is>
          <t>05</t>
        </is>
      </c>
      <c r="B10" s="31" t="inlineStr">
        <is>
          <t>آب معماری / Architectural Water</t>
        </is>
      </c>
      <c r="C10" s="32" t="inlineStr">
        <is>
          <t>LINEAR WATER — آبنمای خطی</t>
        </is>
      </c>
      <c r="D10" s="31" t="inlineStr">
        <is>
          <t>A narrow linear water element accompanies circulation as a reflective architectural line rather than a standalone fountain.
آب به‌صورت یک خط باریک و بازتابنده در کنار مسیر حرکت قرار می‌گیرد، نه به‌عنوان آبنمایی مستقل و جداافتاده.</t>
        </is>
      </c>
    </row>
    <row r="12" ht="16" customHeight="1">
      <c r="A12" s="30" t="inlineStr">
        <is>
          <t>توالی فضایی: ورودی از پارکینگ ← آستانه کاشت ← قلب سبز ← پاویون و تراس ← آبنمای خطی</t>
        </is>
      </c>
    </row>
  </sheetData>
  <mergeCells count="6">
    <mergeCell ref="A2:B2"/>
    <mergeCell ref="C2:D2"/>
    <mergeCell ref="C1:D1"/>
    <mergeCell ref="A12:D12"/>
    <mergeCell ref="A3:D3"/>
    <mergeCell ref="A1:B1"/>
  </mergeCells>
  <printOptions horizontalCentered="1"/>
  <pageMargins left="0.35" right="0.35" top="0.45" bottom="0.45" header="0.2" footer="0.2"/>
  <pageSetup orientation="landscape" paperSize="9" fitToHeight="0" fitToWidth="1"/>
  <headerFooter>
    <oddHeader>&amp;L&amp;8 &amp;K59684FMAJID EISAPOUR   ·   Design &amp;&amp; Spatial Practice&amp;R&amp;8 &amp;K59684FBACKYARD LANDSCAPE · QAEMSHAHR   |   ME-LS-02   |   REV 02</oddHeader>
    <oddFooter>&amp;L&amp;8 &amp;K7C8B72Landscape Design &amp;&amp; Technical BOQ  —  دفترچه طراحی منظر و برآورد فنی&amp;R&amp;8 &amp;K7C8B72&amp;A   ·  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C8B72"/>
    <outlinePr summaryBelow="1" summaryRight="1"/>
    <pageSetUpPr fitToPage="1"/>
  </sheetPr>
  <dimension ref="A1:H17"/>
  <sheetViews>
    <sheetView showGridLines="0" rightToLeft="1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30" customWidth="1" min="3" max="3"/>
    <col width="17" customWidth="1" min="4" max="4"/>
    <col width="9" customWidth="1" min="5" max="5"/>
    <col width="10" customWidth="1" min="6" max="6"/>
    <col width="17" customWidth="1" min="7" max="7"/>
    <col width="40" customWidth="1" min="8" max="8"/>
  </cols>
  <sheetData>
    <row r="1" ht="38" customHeight="1">
      <c r="A1" s="23" t="inlineStr">
        <is>
          <t>DESIGN BASIS &amp; SCOPE</t>
        </is>
      </c>
      <c r="F1" s="24" t="inlineStr">
        <is>
          <t>ME-LS-03</t>
        </is>
      </c>
    </row>
    <row r="2" ht="22" customHeight="1">
      <c r="A2" s="25" t="inlineStr">
        <is>
          <t>مبنای طراحی و دامنه کار</t>
        </is>
      </c>
      <c r="F2" s="24" t="inlineStr">
        <is>
          <t>REV 02</t>
        </is>
      </c>
    </row>
    <row r="3" ht="19" customHeight="1">
      <c r="A3" s="26" t="inlineStr">
        <is>
          <t>What is included, what remains existing, and the assumptions behind the BOQ  |  مبنای محاسبات</t>
        </is>
      </c>
    </row>
    <row r="4" ht="3.5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32" customHeight="1">
      <c r="A5" s="27" t="inlineStr">
        <is>
          <t>کد / Code</t>
        </is>
      </c>
      <c r="B5" s="27" t="inlineStr">
        <is>
          <t>موضوع / Topic</t>
        </is>
      </c>
      <c r="C5" s="27" t="inlineStr">
        <is>
          <t>مبنای طراحی / Basis</t>
        </is>
      </c>
      <c r="D5" s="27" t="inlineStr">
        <is>
          <t>وضعیت / Status</t>
        </is>
      </c>
      <c r="E5" s="27" t="inlineStr">
        <is>
          <t>واحد / Unit</t>
        </is>
      </c>
      <c r="F5" s="27" t="inlineStr">
        <is>
          <t>مقدار / Qty</t>
        </is>
      </c>
      <c r="G5" s="27" t="inlineStr">
        <is>
          <t>یادداشت / Note</t>
        </is>
      </c>
      <c r="H5" s="27" t="inlineStr">
        <is>
          <t>توضیح / Description</t>
        </is>
      </c>
    </row>
    <row r="6" ht="30" customHeight="1">
      <c r="A6" s="35" t="inlineStr">
        <is>
          <t>B-01</t>
        </is>
      </c>
      <c r="B6" s="31" t="inlineStr">
        <is>
          <t>مساحت سایت / Site Area</t>
        </is>
      </c>
      <c r="C6" s="31" t="inlineStr">
        <is>
          <t>20.2 × 24.5 = 494.9</t>
        </is>
      </c>
      <c r="D6" s="36" t="inlineStr">
        <is>
          <t>مبنای محاسبه / Basis</t>
        </is>
      </c>
      <c r="E6" s="37" t="inlineStr">
        <is>
          <t>m²</t>
        </is>
      </c>
      <c r="F6" s="38" t="n">
        <v>495</v>
      </c>
      <c r="G6" s="39" t="inlineStr">
        <is>
          <t>Conceptual</t>
        </is>
      </c>
      <c r="H6" s="40" t="inlineStr">
        <is>
          <t>فقط حیاط پشتی / Backyard only</t>
        </is>
      </c>
    </row>
    <row r="7" ht="30" customHeight="1">
      <c r="A7" s="41" t="inlineStr">
        <is>
          <t>B-02</t>
        </is>
      </c>
      <c r="B7" s="33" t="inlineStr">
        <is>
          <t>پاویون / Pavilion</t>
        </is>
      </c>
      <c r="C7" s="33" t="inlineStr">
        <is>
          <t>5.40 × 4.80</t>
        </is>
      </c>
      <c r="D7" s="42" t="inlineStr">
        <is>
          <t>طراحی / Design</t>
        </is>
      </c>
      <c r="E7" s="43" t="inlineStr">
        <is>
          <t>m²</t>
        </is>
      </c>
      <c r="F7" s="44" t="n">
        <v>25.9</v>
      </c>
      <c r="G7" s="45" t="inlineStr">
        <is>
          <t>Indicative</t>
        </is>
      </c>
      <c r="H7" s="46" t="inlineStr">
        <is>
          <t>طرح سازه نهایی توسط مهندس سازه</t>
        </is>
      </c>
    </row>
    <row r="8" ht="30" customHeight="1">
      <c r="A8" s="35" t="inlineStr">
        <is>
          <t>B-03</t>
        </is>
      </c>
      <c r="B8" s="31" t="inlineStr">
        <is>
          <t>تراس باز / Open Terrace</t>
        </is>
      </c>
      <c r="C8" s="31" t="inlineStr">
        <is>
          <t>6.60 × 3.20 ≈ 21.1</t>
        </is>
      </c>
      <c r="D8" s="36" t="inlineStr">
        <is>
          <t>طراحی / Design</t>
        </is>
      </c>
      <c r="E8" s="37" t="inlineStr">
        <is>
          <t>m²</t>
        </is>
      </c>
      <c r="F8" s="38" t="n">
        <v>21.1</v>
      </c>
      <c r="G8" s="39" t="inlineStr">
        <is>
          <t>Indicative</t>
        </is>
      </c>
      <c r="H8" s="40" t="inlineStr">
        <is>
          <t>یکپارچه با پاویون / Integrated with pavilion</t>
        </is>
      </c>
    </row>
    <row r="9" ht="30" customHeight="1">
      <c r="A9" s="41" t="inlineStr">
        <is>
          <t>B-04</t>
        </is>
      </c>
      <c r="B9" s="33" t="inlineStr">
        <is>
          <t>آبنمای خطی / Linear Water</t>
        </is>
      </c>
      <c r="C9" s="33" t="inlineStr">
        <is>
          <t>11.00 × 0.50</t>
        </is>
      </c>
      <c r="D9" s="42" t="inlineStr">
        <is>
          <t>طراحی / Design</t>
        </is>
      </c>
      <c r="E9" s="43" t="inlineStr">
        <is>
          <t>m²</t>
        </is>
      </c>
      <c r="F9" s="44" t="n">
        <v>5.5</v>
      </c>
      <c r="G9" s="45" t="inlineStr">
        <is>
          <t>Indicative</t>
        </is>
      </c>
      <c r="H9" s="46" t="inlineStr">
        <is>
          <t>عنصر بازتابنده و معماری / Reflective element</t>
        </is>
      </c>
    </row>
    <row r="10" ht="30" customHeight="1">
      <c r="A10" s="35" t="inlineStr">
        <is>
          <t>B-05</t>
        </is>
      </c>
      <c r="B10" s="31" t="inlineStr">
        <is>
          <t>باغ سبزی / Kitchen Garden</t>
        </is>
      </c>
      <c r="C10" s="31" t="inlineStr">
        <is>
          <t>زون 120 m² = 90 بستر + 30 دسترسی</t>
        </is>
      </c>
      <c r="D10" s="36" t="inlineStr">
        <is>
          <t>طراحی / Design</t>
        </is>
      </c>
      <c r="E10" s="37" t="inlineStr">
        <is>
          <t>m²</t>
        </is>
      </c>
      <c r="F10" s="38" t="n">
        <v>120</v>
      </c>
      <c r="G10" s="39" t="inlineStr">
        <is>
          <t>Seasonal</t>
        </is>
      </c>
      <c r="H10" s="40" t="inlineStr">
        <is>
          <t>بستر خالص کاشت 90 m² (تطبیق با BOQ 09-01 و P-05)</t>
        </is>
      </c>
    </row>
    <row r="11" ht="30" customHeight="1">
      <c r="A11" s="41" t="inlineStr">
        <is>
          <t>B-06</t>
        </is>
      </c>
      <c r="B11" s="33" t="inlineStr">
        <is>
          <t>لبه خدماتی / Service Edge</t>
        </is>
      </c>
      <c r="C11" s="33" t="inlineStr">
        <is>
          <t>Storage + washing + lobby</t>
        </is>
      </c>
      <c r="D11" s="47" t="inlineStr">
        <is>
          <t>موجود / Existing</t>
        </is>
      </c>
      <c r="E11" s="43" t="inlineStr">
        <is>
          <t>—</t>
        </is>
      </c>
      <c r="F11" s="43" t="inlineStr">
        <is>
          <t>—</t>
        </is>
      </c>
      <c r="G11" s="45" t="inlineStr">
        <is>
          <t>Untouched</t>
        </is>
      </c>
      <c r="H11" s="46" t="inlineStr">
        <is>
          <t>بدون طراحی مجدد / No redesign included</t>
        </is>
      </c>
    </row>
    <row r="12" ht="30" customHeight="1">
      <c r="A12" s="35" t="inlineStr">
        <is>
          <t>B-07</t>
        </is>
      </c>
      <c r="B12" s="31" t="inlineStr">
        <is>
          <t>ورودی / Entry</t>
        </is>
      </c>
      <c r="C12" s="31" t="inlineStr">
        <is>
          <t>Direct from parking corridor</t>
        </is>
      </c>
      <c r="D12" s="48" t="inlineStr">
        <is>
          <t>موجود / Existing</t>
        </is>
      </c>
      <c r="E12" s="37" t="inlineStr">
        <is>
          <t>—</t>
        </is>
      </c>
      <c r="F12" s="37" t="inlineStr">
        <is>
          <t>—</t>
        </is>
      </c>
      <c r="G12" s="39" t="inlineStr">
        <is>
          <t>Integrated</t>
        </is>
      </c>
      <c r="H12" s="40" t="inlineStr">
        <is>
          <t>بدون درب/گیت فرض شده / No gate assumed</t>
        </is>
      </c>
    </row>
    <row r="13" ht="30" customHeight="1">
      <c r="A13" s="41" t="inlineStr">
        <is>
          <t>B-08</t>
        </is>
      </c>
      <c r="B13" s="33" t="inlineStr">
        <is>
          <t>کفپوش سخت / Hardscape Paving</t>
        </is>
      </c>
      <c r="C13" s="33" t="inlineStr">
        <is>
          <t>مسیر 45 + تراس 22 = 67</t>
        </is>
      </c>
      <c r="D13" s="42" t="inlineStr">
        <is>
          <t>طراحی / Design</t>
        </is>
      </c>
      <c r="E13" s="43" t="inlineStr">
        <is>
          <t>m²</t>
        </is>
      </c>
      <c r="F13" s="44" t="n">
        <v>67</v>
      </c>
      <c r="G13" s="45" t="inlineStr">
        <is>
          <t>Indicative</t>
        </is>
      </c>
      <c r="H13" s="46" t="inlineStr">
        <is>
          <t>تطبیق با BOQ 03-01 و 05-01 و M-01</t>
        </is>
      </c>
    </row>
    <row r="14" ht="30" customHeight="1">
      <c r="A14" s="35" t="inlineStr">
        <is>
          <t>B-09</t>
        </is>
      </c>
      <c r="B14" s="31" t="inlineStr">
        <is>
          <t>چمن / Lawn</t>
        </is>
      </c>
      <c r="C14" s="31" t="inlineStr">
        <is>
          <t>قلب سبز مرکزی / Central green heart</t>
        </is>
      </c>
      <c r="D14" s="36" t="inlineStr">
        <is>
          <t>طراحی / Design</t>
        </is>
      </c>
      <c r="E14" s="37" t="inlineStr">
        <is>
          <t>m²</t>
        </is>
      </c>
      <c r="F14" s="38" t="n">
        <v>140</v>
      </c>
      <c r="G14" s="39" t="inlineStr">
        <is>
          <t>Indicative</t>
        </is>
      </c>
      <c r="H14" s="40" t="inlineStr">
        <is>
          <t>تطبیق با BOQ 08-01 و P-06</t>
        </is>
      </c>
    </row>
    <row r="15" ht="30" customHeight="1">
      <c r="A15" s="41" t="inlineStr">
        <is>
          <t>B-10</t>
        </is>
      </c>
      <c r="B15" s="33" t="inlineStr">
        <is>
          <t>تفکیک سطوح / Area Breakdown</t>
        </is>
      </c>
      <c r="C15" s="33" t="inlineStr">
        <is>
          <t>67 سخت + 140 چمن + 120 باغ سبزی + ≈168 کاشت و لبه</t>
        </is>
      </c>
      <c r="D15" s="42" t="inlineStr">
        <is>
          <t>کنترلی / Control</t>
        </is>
      </c>
      <c r="E15" s="43" t="inlineStr">
        <is>
          <t>m²</t>
        </is>
      </c>
      <c r="F15" s="44" t="n">
        <v>495</v>
      </c>
      <c r="G15" s="45" t="inlineStr">
        <is>
          <t>Indicative</t>
        </is>
      </c>
      <c r="H15" s="46" t="inlineStr">
        <is>
          <t>جمع کنترلی با B-01 / Reconciles with B-01</t>
        </is>
      </c>
    </row>
    <row r="17" ht="30" customHeight="1">
      <c r="A17" s="30" t="inlineStr">
        <is>
          <t>جمع‌بندی / Reconciliation:  مقادیر جدول BOQ (برگه ۰۴) مستقیماً از همین مبانی استخراج شده‌اند؛ هر تغییر در مبانی، بازنگری مقادیر و مبالغ را الزامی می‌کند.  اقلام بدون مقدار (—) در دامنه این دفترچه نیستند.</t>
        </is>
      </c>
      <c r="B17" s="49" t="n"/>
      <c r="C17" s="49" t="n"/>
      <c r="D17" s="49" t="n"/>
      <c r="E17" s="49" t="n"/>
      <c r="F17" s="49" t="n"/>
      <c r="G17" s="49" t="n"/>
      <c r="H17" s="49" t="n"/>
    </row>
  </sheetData>
  <mergeCells count="6">
    <mergeCell ref="A3:H3"/>
    <mergeCell ref="A2:E2"/>
    <mergeCell ref="F1:H1"/>
    <mergeCell ref="A1:E1"/>
    <mergeCell ref="F2:H2"/>
    <mergeCell ref="A17:H17"/>
  </mergeCells>
  <printOptions horizontalCentered="1"/>
  <pageMargins left="0.35" right="0.35" top="0.45" bottom="0.45" header="0.2" footer="0.2"/>
  <pageSetup orientation="landscape" paperSize="9" fitToHeight="0" fitToWidth="1"/>
  <headerFooter>
    <oddHeader>&amp;L&amp;8 &amp;K59684FMAJID EISAPOUR   ·   Design &amp;&amp; Spatial Practice&amp;R&amp;8 &amp;K59684FBACKYARD LANDSCAPE · QAEMSHAHR   |   ME-LS-03   |   REV 02</oddHeader>
    <oddFooter>&amp;L&amp;8 &amp;K7C8B72Landscape Design &amp;&amp; Technical BOQ  —  دفترچه طراحی منظر و برآورد فنی&amp;R&amp;8 &amp;K7C8B72&amp;A   ·  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713F"/>
    <outlinePr summaryBelow="1" summaryRight="1"/>
    <pageSetUpPr fitToPage="1"/>
  </sheetPr>
  <dimension ref="A1:H50"/>
  <sheetViews>
    <sheetView showGridLines="0" rightToLeft="1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.5" customWidth="1" min="1" max="1"/>
    <col width="26" customWidth="1" min="2" max="2"/>
    <col width="44" customWidth="1" min="3" max="3"/>
    <col width="11" customWidth="1" min="4" max="4"/>
    <col width="10" customWidth="1" min="5" max="5"/>
    <col width="17" customWidth="1" min="6" max="6"/>
    <col width="19" customWidth="1" min="7" max="7"/>
    <col width="46" customWidth="1" min="8" max="8"/>
  </cols>
  <sheetData>
    <row r="1" ht="38" customHeight="1">
      <c r="A1" s="23" t="inlineStr">
        <is>
          <t>BILL OF QUANTITIES — BOQ</t>
        </is>
      </c>
      <c r="F1" s="24" t="inlineStr">
        <is>
          <t>ME-LS-04</t>
        </is>
      </c>
    </row>
    <row r="2" ht="22" customHeight="1">
      <c r="A2" s="25" t="inlineStr">
        <is>
          <t>جدول مقادیر و برآورد هزینه</t>
        </is>
      </c>
      <c r="F2" s="24" t="inlineStr">
        <is>
          <t>REV 02</t>
        </is>
      </c>
    </row>
    <row r="3" ht="19" customHeight="1">
      <c r="A3" s="26" t="inlineStr">
        <is>
          <t>Formula-driven technical estimate  ·  تمام مبالغ به تومان و بدون مالیات بر ارزش افزوده  |  برآورد فرمول‌محور</t>
        </is>
      </c>
    </row>
    <row r="4" ht="3.5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34" customHeight="1">
      <c r="A5" s="27" t="inlineStr">
        <is>
          <t>کد / Code</t>
        </is>
      </c>
      <c r="B5" s="27" t="inlineStr">
        <is>
          <t>بخش و آیتم / Item</t>
        </is>
      </c>
      <c r="C5" s="27" t="inlineStr">
        <is>
          <t>شرح فنی و ریزجزئیات / Technical Description</t>
        </is>
      </c>
      <c r="D5" s="27" t="inlineStr">
        <is>
          <t>واحد / Unit</t>
        </is>
      </c>
      <c r="E5" s="27" t="inlineStr">
        <is>
          <t>مقدار / Qty</t>
        </is>
      </c>
      <c r="F5" s="27" t="inlineStr">
        <is>
          <t>قیمت واحد / Unit Rate (Toman)</t>
        </is>
      </c>
      <c r="G5" s="27" t="inlineStr">
        <is>
          <t>مبلغ کل / Total (Toman)</t>
        </is>
      </c>
      <c r="H5" s="27" t="inlineStr">
        <is>
          <t>مبنای محاسبه، ارجاعات و نکات اجرا / Basis &amp; Notes</t>
        </is>
      </c>
    </row>
    <row r="6" ht="20" customHeight="1">
      <c r="A6" s="50" t="inlineStr">
        <is>
          <t>01</t>
        </is>
      </c>
      <c r="B6" s="50" t="inlineStr">
        <is>
          <t>تجهیز کارگاه و حفاظت / SITE SETUP &amp; PROTECTION</t>
        </is>
      </c>
      <c r="C6" s="50" t="n"/>
      <c r="D6" s="50" t="n"/>
      <c r="E6" s="50" t="n"/>
      <c r="F6" s="50" t="n"/>
      <c r="G6" s="50" t="n"/>
      <c r="H6" s="50" t="n"/>
    </row>
    <row r="7" ht="32" customHeight="1">
      <c r="A7" s="41" t="inlineStr">
        <is>
          <t>01-01</t>
        </is>
      </c>
      <c r="B7" s="51" t="inlineStr">
        <is>
          <t>تجهیز کارگاه / Site Setup</t>
        </is>
      </c>
      <c r="C7" s="33" t="inlineStr">
        <is>
          <t>محافظت از محدوده موجود، ابزار و تجهیز اولیه</t>
        </is>
      </c>
      <c r="D7" s="43" t="inlineStr">
        <is>
          <t>مقطوع (LS)</t>
        </is>
      </c>
      <c r="E7" s="44" t="n">
        <v>1</v>
      </c>
      <c r="F7" s="52" t="n">
        <v>35000000</v>
      </c>
      <c r="G7" s="52">
        <f>E7*F7</f>
        <v/>
      </c>
      <c r="H7" s="46" t="inlineStr">
        <is>
          <t>شروع پروژه؛ ورود به لبه خدماتی ممنوع (→ B-06)</t>
        </is>
      </c>
    </row>
    <row r="8" ht="20" customHeight="1">
      <c r="A8" s="50" t="inlineStr">
        <is>
          <t>02</t>
        </is>
      </c>
      <c r="B8" s="50" t="inlineStr">
        <is>
          <t>عملیات خاکی و آماده‌سازی بستر / EARTHWORK &amp; SOIL PREPARATION</t>
        </is>
      </c>
      <c r="C8" s="50" t="n"/>
      <c r="D8" s="50" t="n"/>
      <c r="E8" s="50" t="n"/>
      <c r="F8" s="50" t="n"/>
      <c r="G8" s="50" t="n"/>
      <c r="H8" s="50" t="n"/>
    </row>
    <row r="9" ht="32" customHeight="1">
      <c r="A9" s="41" t="inlineStr">
        <is>
          <t>02-01</t>
        </is>
      </c>
      <c r="B9" s="51" t="inlineStr">
        <is>
          <t>خاک‌برداری / Excavation</t>
        </is>
      </c>
      <c r="C9" s="33" t="inlineStr">
        <is>
          <t>برداشت موضعی برای زیرسازی مسیرها و سازه</t>
        </is>
      </c>
      <c r="D9" s="43" t="inlineStr">
        <is>
          <t>m³</t>
        </is>
      </c>
      <c r="E9" s="44" t="n">
        <v>35</v>
      </c>
      <c r="F9" s="52" t="n">
        <v>450000</v>
      </c>
      <c r="G9" s="52">
        <f>E9*F9</f>
        <v/>
      </c>
      <c r="H9" s="46" t="inlineStr">
        <is>
          <t>برداشت موضعی و کنترل‌شده (→ B-02، B-03)</t>
        </is>
      </c>
    </row>
    <row r="10" ht="32" customHeight="1">
      <c r="A10" s="35" t="inlineStr">
        <is>
          <t>02-02</t>
        </is>
      </c>
      <c r="B10" s="53" t="inlineStr">
        <is>
          <t>خاک زراعی / Topsoil</t>
        </is>
      </c>
      <c r="C10" s="31" t="inlineStr">
        <is>
          <t>تأمین، اصلاح و پخش خاک زراعی</t>
        </is>
      </c>
      <c r="D10" s="37" t="inlineStr">
        <is>
          <t>m³</t>
        </is>
      </c>
      <c r="E10" s="38" t="n">
        <v>28</v>
      </c>
      <c r="F10" s="54" t="n">
        <v>700000</v>
      </c>
      <c r="G10" s="54">
        <f>E10*F10</f>
        <v/>
      </c>
      <c r="H10" s="40" t="inlineStr">
        <is>
          <t>بستر کاشت و باغ سبزی (→ M-06)</t>
        </is>
      </c>
    </row>
    <row r="11" ht="32" customHeight="1">
      <c r="A11" s="41" t="inlineStr">
        <is>
          <t>02-03</t>
        </is>
      </c>
      <c r="B11" s="51" t="inlineStr">
        <is>
          <t>کمپوست / Compost</t>
        </is>
      </c>
      <c r="C11" s="33" t="inlineStr">
        <is>
          <t>ماده آلی و اصلاح خاک</t>
        </is>
      </c>
      <c r="D11" s="43" t="inlineStr">
        <is>
          <t>m³</t>
        </is>
      </c>
      <c r="E11" s="44" t="n">
        <v>8</v>
      </c>
      <c r="F11" s="52" t="n">
        <v>950000</v>
      </c>
      <c r="G11" s="52">
        <f>E11*F11</f>
        <v/>
      </c>
      <c r="H11" s="46" t="inlineStr">
        <is>
          <t>اختلاط کنترل‌شده (→ M-06، TN-07)</t>
        </is>
      </c>
    </row>
    <row r="12" ht="20" customHeight="1">
      <c r="A12" s="55" t="inlineStr"/>
      <c r="B12" s="55" t="inlineStr">
        <is>
          <t>جمع بخش 02 / Section 02 Subtotal</t>
        </is>
      </c>
      <c r="C12" s="55" t="n"/>
      <c r="D12" s="55" t="n"/>
      <c r="E12" s="55" t="n"/>
      <c r="F12" s="55" t="n"/>
      <c r="G12" s="56">
        <f>SUM(G9:G11)</f>
        <v/>
      </c>
      <c r="H12" s="57">
        <f>IF(ABS(G12-SUM(G9,G10,G11))&lt;1,"OK","CHECK")</f>
        <v/>
      </c>
    </row>
    <row r="13" ht="20" customHeight="1">
      <c r="A13" s="50" t="inlineStr">
        <is>
          <t>03</t>
        </is>
      </c>
      <c r="B13" s="50" t="inlineStr">
        <is>
          <t>کف‌پوش و محوطه سخت / PAVING &amp; HARDSCAPE</t>
        </is>
      </c>
      <c r="C13" s="50" t="n"/>
      <c r="D13" s="50" t="n"/>
      <c r="E13" s="50" t="n"/>
      <c r="F13" s="50" t="n"/>
      <c r="G13" s="50" t="n"/>
      <c r="H13" s="50" t="n"/>
    </row>
    <row r="14" ht="32" customHeight="1">
      <c r="A14" s="35" t="inlineStr">
        <is>
          <t>03-01</t>
        </is>
      </c>
      <c r="B14" s="53" t="inlineStr">
        <is>
          <t>کف‌سازی سنگ / Stone Paving</t>
        </is>
      </c>
      <c r="C14" s="31" t="inlineStr">
        <is>
          <t>سنگ طبیعی، برش، ملات/بستر و بندکشی</t>
        </is>
      </c>
      <c r="D14" s="37" t="inlineStr">
        <is>
          <t>m²</t>
        </is>
      </c>
      <c r="E14" s="38" t="n">
        <v>45</v>
      </c>
      <c r="F14" s="54" t="n">
        <v>3200000</v>
      </c>
      <c r="G14" s="54">
        <f>E14*F14</f>
        <v/>
      </c>
      <c r="H14" s="40" t="inlineStr">
        <is>
          <t>مسیرها؛ سنگ منتخب (→ M-01)</t>
        </is>
      </c>
    </row>
    <row r="15" ht="32" customHeight="1">
      <c r="A15" s="41" t="inlineStr">
        <is>
          <t>03-02</t>
        </is>
      </c>
      <c r="B15" s="51" t="inlineStr">
        <is>
          <t>زیرسازی / Subbase</t>
        </is>
      </c>
      <c r="C15" s="33" t="inlineStr">
        <is>
          <t>مصالح دانه‌بندی‌شده + تراکم مرحله‌ای</t>
        </is>
      </c>
      <c r="D15" s="43" t="inlineStr">
        <is>
          <t>m³</t>
        </is>
      </c>
      <c r="E15" s="44" t="n">
        <v>28</v>
      </c>
      <c r="F15" s="52" t="n">
        <v>900000</v>
      </c>
      <c r="G15" s="52">
        <f>E15*F15</f>
        <v/>
      </c>
      <c r="H15" s="46" t="inlineStr">
        <is>
          <t>تراکم مرحله‌ای الزامی است (→ TN-01)</t>
        </is>
      </c>
    </row>
    <row r="16" ht="20" customHeight="1">
      <c r="A16" s="55" t="inlineStr"/>
      <c r="B16" s="55" t="inlineStr">
        <is>
          <t>جمع بخش 03 / Section 03 Subtotal</t>
        </is>
      </c>
      <c r="C16" s="55" t="n"/>
      <c r="D16" s="55" t="n"/>
      <c r="E16" s="55" t="n"/>
      <c r="F16" s="55" t="n"/>
      <c r="G16" s="56">
        <f>SUM(G14:G15)</f>
        <v/>
      </c>
      <c r="H16" s="57">
        <f>IF(ABS(G16-SUM(G14,G15))&lt;1,"OK","CHECK")</f>
        <v/>
      </c>
    </row>
    <row r="17" ht="20" customHeight="1">
      <c r="A17" s="50" t="inlineStr">
        <is>
          <t>04</t>
        </is>
      </c>
      <c r="B17" s="50" t="inlineStr">
        <is>
          <t>پاویون / PAVILION</t>
        </is>
      </c>
      <c r="C17" s="50" t="n"/>
      <c r="D17" s="50" t="n"/>
      <c r="E17" s="50" t="n"/>
      <c r="F17" s="50" t="n"/>
      <c r="G17" s="50" t="n"/>
      <c r="H17" s="50" t="n"/>
    </row>
    <row r="18" ht="32" customHeight="1">
      <c r="A18" s="35" t="inlineStr">
        <is>
          <t>04-01</t>
        </is>
      </c>
      <c r="B18" s="53" t="inlineStr">
        <is>
          <t>فونداسیون پاویون / Foundation</t>
        </is>
      </c>
      <c r="C18" s="31" t="inlineStr">
        <is>
          <t>بتن، آرماتور و قالب‌بندی اولیه</t>
        </is>
      </c>
      <c r="D18" s="37" t="inlineStr">
        <is>
          <t>m²</t>
        </is>
      </c>
      <c r="E18" s="38" t="n">
        <v>30</v>
      </c>
      <c r="F18" s="54" t="n">
        <v>8500000</v>
      </c>
      <c r="G18" s="54">
        <f>E18*F18</f>
        <v/>
      </c>
      <c r="H18" s="40" t="inlineStr">
        <is>
          <t>ضخامت مبنا ≈20 سانتی‌متر ≈ 6 m³ بتن (→ M-04، TN-03)</t>
        </is>
      </c>
    </row>
    <row r="19" ht="32" customHeight="1">
      <c r="A19" s="41" t="inlineStr">
        <is>
          <t>04-02</t>
        </is>
      </c>
      <c r="B19" s="51" t="inlineStr">
        <is>
          <t>اسکلت فلزی / Steel Frame</t>
        </is>
      </c>
      <c r="C19" s="33" t="inlineStr">
        <is>
          <t>پروفیل، برش، جوش، ضدزنگ و نصب</t>
        </is>
      </c>
      <c r="D19" s="43" t="inlineStr">
        <is>
          <t>kg</t>
        </is>
      </c>
      <c r="E19" s="44" t="n">
        <v>1200</v>
      </c>
      <c r="F19" s="52" t="n">
        <v>210000</v>
      </c>
      <c r="G19" s="52">
        <f>E19*F19</f>
        <v/>
      </c>
      <c r="H19" s="46" t="inlineStr">
        <is>
          <t>وزن تقریبی؛ تأیید مهندس سازه (→ M-03)</t>
        </is>
      </c>
    </row>
    <row r="20" ht="32" customHeight="1">
      <c r="A20" s="35" t="inlineStr">
        <is>
          <t>04-03</t>
        </is>
      </c>
      <c r="B20" s="53" t="inlineStr">
        <is>
          <t>سقف / Roof</t>
        </is>
      </c>
      <c r="C20" s="31" t="inlineStr">
        <is>
          <t>پوسته سقف و لایه‌های آب‌بندی</t>
        </is>
      </c>
      <c r="D20" s="37" t="inlineStr">
        <is>
          <t>m²</t>
        </is>
      </c>
      <c r="E20" s="38" t="n">
        <v>32</v>
      </c>
      <c r="F20" s="54" t="n">
        <v>4200000</v>
      </c>
      <c r="G20" s="54">
        <f>E20*F20</f>
        <v/>
      </c>
      <c r="H20" s="40" t="inlineStr">
        <is>
          <t>هماهنگ با دیتیل معماری (→ B-02)</t>
        </is>
      </c>
    </row>
    <row r="21" ht="32" customHeight="1">
      <c r="A21" s="41" t="inlineStr">
        <is>
          <t>04-04</t>
        </is>
      </c>
      <c r="B21" s="51" t="inlineStr">
        <is>
          <t>ترمووود / Thermowood</t>
        </is>
      </c>
      <c r="C21" s="33" t="inlineStr">
        <is>
          <t>سقف کاذب و پوسته چوبی منتخب</t>
        </is>
      </c>
      <c r="D21" s="43" t="inlineStr">
        <is>
          <t>m²</t>
        </is>
      </c>
      <c r="E21" s="44" t="n">
        <v>30</v>
      </c>
      <c r="F21" s="52" t="n">
        <v>3500000</v>
      </c>
      <c r="G21" s="52">
        <f>E21*F21</f>
        <v/>
      </c>
      <c r="H21" s="46" t="inlineStr">
        <is>
          <t>وابسته به گونه و گرید (→ M-02، TN-04)</t>
        </is>
      </c>
    </row>
    <row r="22" ht="20" customHeight="1">
      <c r="A22" s="55" t="inlineStr"/>
      <c r="B22" s="55" t="inlineStr">
        <is>
          <t>جمع بخش 04 / Section 04 Subtotal</t>
        </is>
      </c>
      <c r="C22" s="55" t="n"/>
      <c r="D22" s="55" t="n"/>
      <c r="E22" s="55" t="n"/>
      <c r="F22" s="55" t="n"/>
      <c r="G22" s="56">
        <f>SUM(G18:G21)</f>
        <v/>
      </c>
      <c r="H22" s="57">
        <f>IF(ABS(G22-SUM(G18,G19,G20,G21))&lt;1,"OK","CHECK")</f>
        <v/>
      </c>
    </row>
    <row r="23" ht="20" customHeight="1">
      <c r="A23" s="50" t="inlineStr">
        <is>
          <t>05</t>
        </is>
      </c>
      <c r="B23" s="50" t="inlineStr">
        <is>
          <t>تراس باز / OPEN TERRACE</t>
        </is>
      </c>
      <c r="C23" s="50" t="n"/>
      <c r="D23" s="50" t="n"/>
      <c r="E23" s="50" t="n"/>
      <c r="F23" s="50" t="n"/>
      <c r="G23" s="50" t="n"/>
      <c r="H23" s="50" t="n"/>
    </row>
    <row r="24" ht="32" customHeight="1">
      <c r="A24" s="35" t="inlineStr">
        <is>
          <t>05-01</t>
        </is>
      </c>
      <c r="B24" s="53" t="inlineStr">
        <is>
          <t>تراس / Terrace</t>
        </is>
      </c>
      <c r="C24" s="31" t="inlineStr">
        <is>
          <t>کف‌سازی و لبه‌سازی فضای نشستن</t>
        </is>
      </c>
      <c r="D24" s="37" t="inlineStr">
        <is>
          <t>m²</t>
        </is>
      </c>
      <c r="E24" s="38" t="n">
        <v>22</v>
      </c>
      <c r="F24" s="54" t="n">
        <v>3000000</v>
      </c>
      <c r="G24" s="54">
        <f>E24*F24</f>
        <v/>
      </c>
      <c r="H24" s="40" t="inlineStr">
        <is>
          <t>یکپارچه با پاویون (→ B-03، M-01)</t>
        </is>
      </c>
    </row>
    <row r="25" ht="20" customHeight="1">
      <c r="A25" s="50" t="inlineStr">
        <is>
          <t>06</t>
        </is>
      </c>
      <c r="B25" s="50" t="inlineStr">
        <is>
          <t>آبنمای خطی / LINEAR WATER FEATURE</t>
        </is>
      </c>
      <c r="C25" s="50" t="n"/>
      <c r="D25" s="50" t="n"/>
      <c r="E25" s="50" t="n"/>
      <c r="F25" s="50" t="n"/>
      <c r="G25" s="50" t="n"/>
      <c r="H25" s="50" t="n"/>
    </row>
    <row r="26" ht="32" customHeight="1">
      <c r="A26" s="35" t="inlineStr">
        <is>
          <t>06-01</t>
        </is>
      </c>
      <c r="B26" s="53" t="inlineStr">
        <is>
          <t>آبنمای خطی / Linear Water</t>
        </is>
      </c>
      <c r="C26" s="31" t="inlineStr">
        <is>
          <t>کاسه، آب‌بندی، لبه سنگی و گردش بسته آب</t>
        </is>
      </c>
      <c r="D26" s="37" t="inlineStr">
        <is>
          <t>lm</t>
        </is>
      </c>
      <c r="E26" s="38" t="n">
        <v>11</v>
      </c>
      <c r="F26" s="54" t="n">
        <v>15000000</v>
      </c>
      <c r="G26" s="54">
        <f>E26*F26</f>
        <v/>
      </c>
      <c r="H26" s="40" t="inlineStr">
        <is>
          <t>آبنمای کم‌عمق و معماری (→ B-04، M-05، TN-06)</t>
        </is>
      </c>
    </row>
    <row r="27" ht="20" customHeight="1">
      <c r="A27" s="50" t="inlineStr">
        <is>
          <t>07</t>
        </is>
      </c>
      <c r="B27" s="50" t="inlineStr">
        <is>
          <t>آبیاری / IRRIGATION</t>
        </is>
      </c>
      <c r="C27" s="50" t="n"/>
      <c r="D27" s="50" t="n"/>
      <c r="E27" s="50" t="n"/>
      <c r="F27" s="50" t="n"/>
      <c r="G27" s="50" t="n"/>
      <c r="H27" s="50" t="n"/>
    </row>
    <row r="28" ht="32" customHeight="1">
      <c r="A28" s="35" t="inlineStr">
        <is>
          <t>07-01</t>
        </is>
      </c>
      <c r="B28" s="53" t="inlineStr">
        <is>
          <t>آبیاری / Irrigation Network</t>
        </is>
      </c>
      <c r="C28" s="31" t="inlineStr">
        <is>
          <t>شبکه اصلی، تفکیک زون و کنترل</t>
        </is>
      </c>
      <c r="D28" s="37" t="inlineStr">
        <is>
          <t>m²</t>
        </is>
      </c>
      <c r="E28" s="38" t="n">
        <v>495</v>
      </c>
      <c r="F28" s="54" t="n">
        <v>190000</v>
      </c>
      <c r="G28" s="54">
        <f>E28*F28</f>
        <v/>
      </c>
      <c r="H28" s="40" t="inlineStr">
        <is>
          <t>شامل شبکه اصلی ≈120 lm و 6 عدد شیر برقی (→ I-01، I-03، TN-08)</t>
        </is>
      </c>
    </row>
    <row r="29" ht="32" customHeight="1">
      <c r="A29" s="41" t="inlineStr">
        <is>
          <t>07-02</t>
        </is>
      </c>
      <c r="B29" s="51" t="inlineStr">
        <is>
          <t>لوله قطره‌ای / Drip Line</t>
        </is>
      </c>
      <c r="C29" s="33" t="inlineStr">
        <is>
          <t>لوله و اتصالات قطره‌ای</t>
        </is>
      </c>
      <c r="D29" s="43" t="inlineStr">
        <is>
          <t>lm</t>
        </is>
      </c>
      <c r="E29" s="44" t="n">
        <v>350</v>
      </c>
      <c r="F29" s="52" t="n">
        <v>100000</v>
      </c>
      <c r="G29" s="52">
        <f>E29*F29</f>
        <v/>
      </c>
      <c r="H29" s="46" t="inlineStr">
        <is>
          <t>ویژه باغ سبزی و کاشت (→ I-02)</t>
        </is>
      </c>
    </row>
    <row r="30" ht="20" customHeight="1">
      <c r="A30" s="55" t="inlineStr"/>
      <c r="B30" s="55" t="inlineStr">
        <is>
          <t>جمع بخش 07 / Section 07 Subtotal</t>
        </is>
      </c>
      <c r="C30" s="55" t="n"/>
      <c r="D30" s="55" t="n"/>
      <c r="E30" s="55" t="n"/>
      <c r="F30" s="55" t="n"/>
      <c r="G30" s="56">
        <f>SUM(G28:G29)</f>
        <v/>
      </c>
      <c r="H30" s="57">
        <f>IF(ABS(G30-SUM(G28,G29))&lt;1,"OK","CHECK")</f>
        <v/>
      </c>
    </row>
    <row r="31" ht="20" customHeight="1">
      <c r="A31" s="50" t="inlineStr">
        <is>
          <t>08</t>
        </is>
      </c>
      <c r="B31" s="50" t="inlineStr">
        <is>
          <t>کاشت و چمن / PLANTING &amp; LAWN</t>
        </is>
      </c>
      <c r="C31" s="50" t="n"/>
      <c r="D31" s="50" t="n"/>
      <c r="E31" s="50" t="n"/>
      <c r="F31" s="50" t="n"/>
      <c r="G31" s="50" t="n"/>
      <c r="H31" s="50" t="n"/>
    </row>
    <row r="32" ht="32" customHeight="1">
      <c r="A32" s="35" t="inlineStr">
        <is>
          <t>08-01</t>
        </is>
      </c>
      <c r="B32" s="53" t="inlineStr">
        <is>
          <t>چمن / Lawn</t>
        </is>
      </c>
      <c r="C32" s="31" t="inlineStr">
        <is>
          <t>زیرسازی و اجرای چمن</t>
        </is>
      </c>
      <c r="D32" s="37" t="inlineStr">
        <is>
          <t>m²</t>
        </is>
      </c>
      <c r="E32" s="38" t="n">
        <v>140</v>
      </c>
      <c r="F32" s="54" t="n">
        <v>270000</v>
      </c>
      <c r="G32" s="54">
        <f>E32*F32</f>
        <v/>
      </c>
      <c r="H32" s="40" t="inlineStr">
        <is>
          <t>چمن مقاوم و کم‌دردسر (→ P-06)</t>
        </is>
      </c>
    </row>
    <row r="33" ht="32" customHeight="1">
      <c r="A33" s="41" t="inlineStr">
        <is>
          <t>08-02</t>
        </is>
      </c>
      <c r="B33" s="51" t="inlineStr">
        <is>
          <t>درخت شاخص / Specimen Tree</t>
        </is>
      </c>
      <c r="C33" s="33" t="inlineStr">
        <is>
          <t>درخت شاخص با کاشت و تثبیت</t>
        </is>
      </c>
      <c r="D33" s="43" t="inlineStr">
        <is>
          <t>عدد</t>
        </is>
      </c>
      <c r="E33" s="44" t="n">
        <v>2</v>
      </c>
      <c r="F33" s="52" t="n">
        <v>12000000</v>
      </c>
      <c r="G33" s="52">
        <f>E33*F33</f>
        <v/>
      </c>
      <c r="H33" s="46" t="inlineStr">
        <is>
          <t>انتخاب نهایی با توجه به اقلیم (→ P-01)</t>
        </is>
      </c>
    </row>
    <row r="34" ht="32" customHeight="1">
      <c r="A34" s="35" t="inlineStr">
        <is>
          <t>08-03</t>
        </is>
      </c>
      <c r="B34" s="53" t="inlineStr">
        <is>
          <t>درخت میوه / Fruit Tree</t>
        </is>
      </c>
      <c r="C34" s="31" t="inlineStr">
        <is>
          <t>نهال میوه مناسب منطقه</t>
        </is>
      </c>
      <c r="D34" s="37" t="inlineStr">
        <is>
          <t>عدد</t>
        </is>
      </c>
      <c r="E34" s="38" t="n">
        <v>4</v>
      </c>
      <c r="F34" s="54" t="n">
        <v>5500000</v>
      </c>
      <c r="G34" s="54">
        <f>E34*F34</f>
        <v/>
      </c>
      <c r="H34" s="40" t="inlineStr">
        <is>
          <t>در محدوده باغ تولیدی (→ P-02)</t>
        </is>
      </c>
    </row>
    <row r="35" ht="32" customHeight="1">
      <c r="A35" s="41" t="inlineStr">
        <is>
          <t>08-04</t>
        </is>
      </c>
      <c r="B35" s="51" t="inlineStr">
        <is>
          <t>درختچه و پرچین / Shrub &amp; Hedge</t>
        </is>
      </c>
      <c r="C35" s="33" t="inlineStr">
        <is>
          <t>کاشت درختچه چندلایه و پرچین</t>
        </is>
      </c>
      <c r="D35" s="43" t="inlineStr">
        <is>
          <t>عدد</t>
        </is>
      </c>
      <c r="E35" s="44" t="n">
        <v>35</v>
      </c>
      <c r="F35" s="52" t="n">
        <v>950000</v>
      </c>
      <c r="G35" s="52">
        <f>E35*F35</f>
        <v/>
      </c>
      <c r="H35" s="46" t="inlineStr">
        <is>
          <t>شامل پرچین 25 متر طول (→ P-03، P-04)</t>
        </is>
      </c>
    </row>
    <row r="36" ht="20" customHeight="1">
      <c r="A36" s="55" t="inlineStr"/>
      <c r="B36" s="55" t="inlineStr">
        <is>
          <t>جمع بخش 08 / Section 08 Subtotal</t>
        </is>
      </c>
      <c r="C36" s="55" t="n"/>
      <c r="D36" s="55" t="n"/>
      <c r="E36" s="55" t="n"/>
      <c r="F36" s="55" t="n"/>
      <c r="G36" s="56">
        <f>SUM(G32:G35)</f>
        <v/>
      </c>
      <c r="H36" s="57">
        <f>IF(ABS(G36-SUM(G32,G33,G34,G35))&lt;1,"OK","CHECK")</f>
        <v/>
      </c>
    </row>
    <row r="37" ht="20" customHeight="1">
      <c r="A37" s="50" t="inlineStr">
        <is>
          <t>09</t>
        </is>
      </c>
      <c r="B37" s="50" t="inlineStr">
        <is>
          <t>باغ سبزی / KITCHEN GARDEN</t>
        </is>
      </c>
      <c r="C37" s="50" t="n"/>
      <c r="D37" s="50" t="n"/>
      <c r="E37" s="50" t="n"/>
      <c r="F37" s="50" t="n"/>
      <c r="G37" s="50" t="n"/>
      <c r="H37" s="50" t="n"/>
    </row>
    <row r="38" ht="32" customHeight="1">
      <c r="A38" s="35" t="inlineStr">
        <is>
          <t>09-01</t>
        </is>
      </c>
      <c r="B38" s="53" t="inlineStr">
        <is>
          <t>باغچه تولیدی / Raised Beds</t>
        </is>
      </c>
      <c r="C38" s="31" t="inlineStr">
        <is>
          <t>ساخت بسترهای کاشت سبزی</t>
        </is>
      </c>
      <c r="D38" s="37" t="inlineStr">
        <is>
          <t>m²</t>
        </is>
      </c>
      <c r="E38" s="38" t="n">
        <v>90</v>
      </c>
      <c r="F38" s="54" t="n">
        <v>1500000</v>
      </c>
      <c r="G38" s="54">
        <f>E38*F38</f>
        <v/>
      </c>
      <c r="H38" s="40" t="inlineStr">
        <is>
          <t>بستر خالص در زون 120 m² (→ B-05، P-05)</t>
        </is>
      </c>
    </row>
    <row r="39" ht="20" customHeight="1">
      <c r="A39" s="50" t="inlineStr">
        <is>
          <t>10</t>
        </is>
      </c>
      <c r="B39" s="50" t="inlineStr">
        <is>
          <t>روشنایی محوطه / LIGHTING</t>
        </is>
      </c>
      <c r="C39" s="50" t="n"/>
      <c r="D39" s="50" t="n"/>
      <c r="E39" s="50" t="n"/>
      <c r="F39" s="50" t="n"/>
      <c r="G39" s="50" t="n"/>
      <c r="H39" s="50" t="n"/>
    </row>
    <row r="40" ht="32" customHeight="1">
      <c r="A40" s="35" t="inlineStr">
        <is>
          <t>10-01</t>
        </is>
      </c>
      <c r="B40" s="53" t="inlineStr">
        <is>
          <t>چراغ مسیر / Path Light</t>
        </is>
      </c>
      <c r="C40" s="31" t="inlineStr">
        <is>
          <t>چراغ محوطه با IP مناسب</t>
        </is>
      </c>
      <c r="D40" s="37" t="inlineStr">
        <is>
          <t>عدد</t>
        </is>
      </c>
      <c r="E40" s="38" t="n">
        <v>10</v>
      </c>
      <c r="F40" s="54" t="n">
        <v>4800000</v>
      </c>
      <c r="G40" s="54">
        <f>E40*F40</f>
        <v/>
      </c>
      <c r="H40" s="40" t="inlineStr">
        <is>
          <t>نور کم‌ارتفاع و کنترل‌شده (→ L-01، TN-05)</t>
        </is>
      </c>
    </row>
    <row r="41" ht="32" customHeight="1">
      <c r="A41" s="41" t="inlineStr">
        <is>
          <t>10-02</t>
        </is>
      </c>
      <c r="B41" s="51" t="inlineStr">
        <is>
          <t>چراغ توکار / Inground Light</t>
        </is>
      </c>
      <c r="C41" s="33" t="inlineStr">
        <is>
          <t>نورپردازی تأکیدی معماری</t>
        </is>
      </c>
      <c r="D41" s="43" t="inlineStr">
        <is>
          <t>عدد</t>
        </is>
      </c>
      <c r="E41" s="44" t="n">
        <v>8</v>
      </c>
      <c r="F41" s="52" t="n">
        <v>5200000</v>
      </c>
      <c r="G41" s="52">
        <f>E41*F41</f>
        <v/>
      </c>
      <c r="H41" s="46" t="inlineStr">
        <is>
          <t>بدون خیرگی؛ درین مناسب (→ L-02)</t>
        </is>
      </c>
    </row>
    <row r="42" ht="32" customHeight="1">
      <c r="A42" s="35" t="inlineStr">
        <is>
          <t>10-03</t>
        </is>
      </c>
      <c r="B42" s="53" t="inlineStr">
        <is>
          <t>چراغ خطی آب / Water Linear Light</t>
        </is>
      </c>
      <c r="C42" s="31" t="inlineStr">
        <is>
          <t>نور خطی ضدآب</t>
        </is>
      </c>
      <c r="D42" s="37" t="inlineStr">
        <is>
          <t>lm</t>
        </is>
      </c>
      <c r="E42" s="38" t="n">
        <v>10</v>
      </c>
      <c r="F42" s="54" t="n">
        <v>1200000</v>
      </c>
      <c r="G42" s="54">
        <f>E42*F42</f>
        <v/>
      </c>
      <c r="H42" s="40" t="inlineStr">
        <is>
          <t>هماهنگ با دیتیل آب (→ L-03)</t>
        </is>
      </c>
    </row>
    <row r="43" ht="20" customHeight="1">
      <c r="A43" s="55" t="inlineStr"/>
      <c r="B43" s="55" t="inlineStr">
        <is>
          <t>جمع بخش 10 / Section 10 Subtotal</t>
        </is>
      </c>
      <c r="C43" s="55" t="n"/>
      <c r="D43" s="55" t="n"/>
      <c r="E43" s="55" t="n"/>
      <c r="F43" s="55" t="n"/>
      <c r="G43" s="56">
        <f>SUM(G40:G42)</f>
        <v/>
      </c>
      <c r="H43" s="57">
        <f>IF(ABS(G43-SUM(G40,G41,G42))&lt;1,"OK","CHECK")</f>
        <v/>
      </c>
    </row>
    <row r="44" ht="20" customHeight="1">
      <c r="A44" s="50" t="inlineStr">
        <is>
          <t>11</t>
        </is>
      </c>
      <c r="B44" s="50" t="inlineStr">
        <is>
          <t>کنترل کیفیت و تحویل / QA &amp; HANDOVER</t>
        </is>
      </c>
      <c r="C44" s="50" t="n"/>
      <c r="D44" s="50" t="n"/>
      <c r="E44" s="50" t="n"/>
      <c r="F44" s="50" t="n"/>
      <c r="G44" s="50" t="n"/>
      <c r="H44" s="50" t="n"/>
    </row>
    <row r="45" ht="32" customHeight="1">
      <c r="A45" s="41" t="inlineStr">
        <is>
          <t>11-01</t>
        </is>
      </c>
      <c r="B45" s="51" t="inlineStr">
        <is>
          <t>کنترل کیفیت و تحویل / QA &amp; Handover</t>
        </is>
      </c>
      <c r="C45" s="33" t="inlineStr">
        <is>
          <t>بازدید، رفع نواقص و تحویل اولیه</t>
        </is>
      </c>
      <c r="D45" s="43" t="inlineStr">
        <is>
          <t>مقطوع (LS)</t>
        </is>
      </c>
      <c r="E45" s="44" t="n">
        <v>1</v>
      </c>
      <c r="F45" s="52" t="n">
        <v>65000000</v>
      </c>
      <c r="G45" s="52">
        <f>E45*F45</f>
        <v/>
      </c>
      <c r="H45" s="46" t="inlineStr">
        <is>
          <t>دو مرحله کنترل کیفیت (→ TN-09)</t>
        </is>
      </c>
    </row>
    <row r="47" ht="22" customHeight="1">
      <c r="A47" s="58" t="inlineStr">
        <is>
          <t>جمع مستقیم / Direct Cost</t>
        </is>
      </c>
      <c r="B47" s="58" t="n"/>
      <c r="C47" s="58" t="n"/>
      <c r="D47" s="58" t="n"/>
      <c r="E47" s="58" t="n"/>
      <c r="F47" s="58" t="n"/>
      <c r="G47" s="59">
        <f>G7+G9+G10+G11+G14+G15+G18+G19+G20+G21+G24+G26+G28+G29+G32+G33+G34+G35+G38+G40+G41+G42+G45</f>
        <v/>
      </c>
      <c r="H47" s="60" t="inlineStr">
        <is>
          <t>جمع همه ردیف‌های قیمت‌دار / Sum of all priced items</t>
        </is>
      </c>
    </row>
    <row r="48" ht="22" customHeight="1">
      <c r="A48" s="61" t="inlineStr">
        <is>
          <t>ذخیره ریسک و پرت / Risk &amp; Waste Reserve</t>
        </is>
      </c>
      <c r="B48" s="61" t="n"/>
      <c r="C48" s="61" t="n"/>
      <c r="D48" s="61" t="n"/>
      <c r="E48" s="61" t="n"/>
      <c r="F48" s="61" t="n"/>
      <c r="G48" s="62">
        <f>G47*'09 | Cost Summary'!$C$16</f>
        <v/>
      </c>
      <c r="H48" s="63" t="inlineStr">
        <is>
          <t>نرخ ذخیره در برگه 09 (سلول ورودی) قابل تنظیم است</t>
        </is>
      </c>
    </row>
    <row r="49" ht="24" customHeight="1">
      <c r="A49" s="58" t="inlineStr">
        <is>
          <t>برآورد کل / Estimated Total</t>
        </is>
      </c>
      <c r="B49" s="58" t="n"/>
      <c r="C49" s="58" t="n"/>
      <c r="D49" s="58" t="n"/>
      <c r="E49" s="58" t="n"/>
      <c r="F49" s="58" t="n"/>
      <c r="G49" s="59">
        <f>G47+G48</f>
        <v/>
      </c>
      <c r="H49" s="60" t="inlineStr">
        <is>
          <t>شامل ذخیره ریسک و پرت / Includes risk &amp; waste reserve</t>
        </is>
      </c>
    </row>
    <row r="50" ht="30" customHeight="1">
      <c r="A50" s="30" t="inlineStr">
        <is>
          <t>توجه: واحد «مقطوع (LS)» یعنی Lump Sum.  ارجاعات «→» به کدهای سایر برگه‌ها اشاره دارند (B: مبانی، M: متریال، P: کاشت، L/I: نور و آبیاری، TN: یادداشت‌های اجرایی).</t>
        </is>
      </c>
      <c r="B50" s="49" t="n"/>
      <c r="C50" s="49" t="n"/>
      <c r="D50" s="49" t="n"/>
      <c r="E50" s="49" t="n"/>
      <c r="F50" s="49" t="n"/>
      <c r="G50" s="49" t="n"/>
      <c r="H50" s="49" t="n"/>
    </row>
  </sheetData>
  <mergeCells count="26">
    <mergeCell ref="B16:F16"/>
    <mergeCell ref="B6:H6"/>
    <mergeCell ref="A1:E1"/>
    <mergeCell ref="F2:H2"/>
    <mergeCell ref="B22:F22"/>
    <mergeCell ref="B43:F43"/>
    <mergeCell ref="B12:F12"/>
    <mergeCell ref="A47:F47"/>
    <mergeCell ref="B25:H25"/>
    <mergeCell ref="B31:H31"/>
    <mergeCell ref="A50:H50"/>
    <mergeCell ref="A3:H3"/>
    <mergeCell ref="B27:H27"/>
    <mergeCell ref="A2:E2"/>
    <mergeCell ref="F1:H1"/>
    <mergeCell ref="B39:H39"/>
    <mergeCell ref="A48:F48"/>
    <mergeCell ref="B23:H23"/>
    <mergeCell ref="B30:F30"/>
    <mergeCell ref="B8:H8"/>
    <mergeCell ref="A49:F49"/>
    <mergeCell ref="B17:H17"/>
    <mergeCell ref="B13:H13"/>
    <mergeCell ref="B44:H44"/>
    <mergeCell ref="B36:F36"/>
    <mergeCell ref="B37:H37"/>
  </mergeCells>
  <printOptions horizontalCentered="1"/>
  <pageMargins left="0.35" right="0.35" top="0.45" bottom="0.45" header="0.2" footer="0.2"/>
  <pageSetup orientation="landscape" paperSize="9" fitToHeight="0" fitToWidth="1"/>
  <headerFooter>
    <oddHeader>&amp;L&amp;8 &amp;K59684FMAJID EISAPOUR   ·   Design &amp;&amp; Spatial Practice&amp;R&amp;8 &amp;K59684FBACKYARD LANDSCAPE · QAEMSHAHR   |   ME-LS-04   |   REV 02</oddHeader>
    <oddFooter>&amp;L&amp;8 &amp;K7C8B72Landscape Design &amp;&amp; Technical BOQ  —  دفترچه طراحی منظر و برآورد فنی&amp;R&amp;8 &amp;K7C8B72&amp;A   ·  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C0A163"/>
    <outlinePr summaryBelow="1" summaryRight="1"/>
    <pageSetUpPr fitToPage="1"/>
  </sheetPr>
  <dimension ref="A1:G13"/>
  <sheetViews>
    <sheetView showGridLines="0" rightToLeft="1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.5" customWidth="1" min="1" max="1"/>
    <col width="30" customWidth="1" min="2" max="2"/>
    <col width="26" customWidth="1" min="3" max="3"/>
    <col width="30" customWidth="1" min="4" max="4"/>
    <col width="10" customWidth="1" min="5" max="5"/>
    <col width="11" customWidth="1" min="6" max="6"/>
    <col width="52" customWidth="1" min="7" max="7"/>
  </cols>
  <sheetData>
    <row r="1" ht="38" customHeight="1">
      <c r="A1" s="23" t="inlineStr">
        <is>
          <t>MATERIAL SCHEDULE</t>
        </is>
      </c>
      <c r="E1" s="24" t="inlineStr">
        <is>
          <t>ME-LS-05</t>
        </is>
      </c>
    </row>
    <row r="2" ht="22" customHeight="1">
      <c r="A2" s="25" t="inlineStr">
        <is>
          <t>جدول متریال و مشخصات</t>
        </is>
      </c>
      <c r="E2" s="24" t="inlineStr">
        <is>
          <t>REV 02</t>
        </is>
      </c>
    </row>
    <row r="3" ht="19" customHeight="1">
      <c r="A3" s="26" t="inlineStr">
        <is>
          <t>Material language, application and execution intent  |  زبان متریال، کاربرد و قصد اجرایی</t>
        </is>
      </c>
    </row>
    <row r="4" ht="3.5" customHeight="1">
      <c r="A4" s="5" t="n"/>
      <c r="B4" s="5" t="n"/>
      <c r="C4" s="5" t="n"/>
      <c r="D4" s="5" t="n"/>
      <c r="E4" s="5" t="n"/>
      <c r="F4" s="5" t="n"/>
      <c r="G4" s="5" t="n"/>
    </row>
    <row r="5" ht="30" customHeight="1">
      <c r="A5" s="27" t="inlineStr">
        <is>
          <t>کد / Code</t>
        </is>
      </c>
      <c r="B5" s="27" t="inlineStr">
        <is>
          <t>متریال / Material</t>
        </is>
      </c>
      <c r="C5" s="27" t="inlineStr">
        <is>
          <t>کاربرد / Application</t>
        </is>
      </c>
      <c r="D5" s="27" t="inlineStr">
        <is>
          <t>حس و کیفیت / Character</t>
        </is>
      </c>
      <c r="E5" s="27" t="inlineStr">
        <is>
          <t>واحد / Unit</t>
        </is>
      </c>
      <c r="F5" s="27" t="inlineStr">
        <is>
          <t>مقدار / Qty</t>
        </is>
      </c>
      <c r="G5" s="27" t="inlineStr">
        <is>
          <t>یادداشت اجرایی / Execution Note</t>
        </is>
      </c>
    </row>
    <row r="6" ht="40" customHeight="1">
      <c r="A6" s="35" t="inlineStr">
        <is>
          <t>M-01</t>
        </is>
      </c>
      <c r="B6" s="53" t="inlineStr">
        <is>
          <t>سنگ طبیعی / Natural Stone</t>
        </is>
      </c>
      <c r="C6" s="31" t="inlineStr">
        <is>
          <t>مسیرها و تراس</t>
        </is>
      </c>
      <c r="D6" s="64" t="inlineStr">
        <is>
          <t>Calm • tactile • durable</t>
        </is>
      </c>
      <c r="E6" s="37" t="inlineStr">
        <is>
          <t>m²</t>
        </is>
      </c>
      <c r="F6" s="37" t="inlineStr">
        <is>
          <t>≈ 67</t>
        </is>
      </c>
      <c r="G6" s="40" t="inlineStr">
        <is>
          <t>جمع 45 مسیر + 22 تراس؛ نمونه و گرید نهایی پیش از سفارش تأیید شود (→ BOQ 03-01، 05-01)</t>
        </is>
      </c>
    </row>
    <row r="7" ht="40" customHeight="1">
      <c r="A7" s="41" t="inlineStr">
        <is>
          <t>M-02</t>
        </is>
      </c>
      <c r="B7" s="51" t="inlineStr">
        <is>
          <t>ترمووود / Thermowood</t>
        </is>
      </c>
      <c r="C7" s="33" t="inlineStr">
        <is>
          <t>سقف و جزئیات پاویون</t>
        </is>
      </c>
      <c r="D7" s="65" t="inlineStr">
        <is>
          <t>Warm • precise • natural</t>
        </is>
      </c>
      <c r="E7" s="43" t="inlineStr">
        <is>
          <t>m²</t>
        </is>
      </c>
      <c r="F7" s="43" t="inlineStr">
        <is>
          <t>≈ 30</t>
        </is>
      </c>
      <c r="G7" s="46" t="inlineStr">
        <is>
          <t>زیرسازی و فاصله تهویه پشت چوب الزامی است (→ TN-04)</t>
        </is>
      </c>
    </row>
    <row r="8" ht="40" customHeight="1">
      <c r="A8" s="35" t="inlineStr">
        <is>
          <t>M-03</t>
        </is>
      </c>
      <c r="B8" s="53" t="inlineStr">
        <is>
          <t>فلز رنگ‌شده / Coated Steel</t>
        </is>
      </c>
      <c r="C8" s="31" t="inlineStr">
        <is>
          <t>اسکلت پاویون</t>
        </is>
      </c>
      <c r="D8" s="64" t="inlineStr">
        <is>
          <t>Light • minimal • architectural</t>
        </is>
      </c>
      <c r="E8" s="37" t="inlineStr">
        <is>
          <t>kg</t>
        </is>
      </c>
      <c r="F8" s="37" t="inlineStr">
        <is>
          <t>≈ 1,200</t>
        </is>
      </c>
      <c r="G8" s="40" t="inlineStr">
        <is>
          <t>ضدخوردگی مناسب رطوبت شمال (→ BOQ 04-02)</t>
        </is>
      </c>
    </row>
    <row r="9" ht="40" customHeight="1">
      <c r="A9" s="41" t="inlineStr">
        <is>
          <t>M-04</t>
        </is>
      </c>
      <c r="B9" s="51" t="inlineStr">
        <is>
          <t>بتن / Concrete</t>
        </is>
      </c>
      <c r="C9" s="33" t="inlineStr">
        <is>
          <t>فونداسیون و بسترها</t>
        </is>
      </c>
      <c r="D9" s="65" t="inlineStr">
        <is>
          <t>Mass • quiet • robust</t>
        </is>
      </c>
      <c r="E9" s="43" t="inlineStr">
        <is>
          <t>m³</t>
        </is>
      </c>
      <c r="F9" s="43" t="inlineStr">
        <is>
          <t>≈ 6</t>
        </is>
      </c>
      <c r="G9" s="46" t="inlineStr">
        <is>
          <t>معادل پی 30 m² با ضخامت ≈20 cm؛ عیار توسط مهندس (→ BOQ 04-01)</t>
        </is>
      </c>
    </row>
    <row r="10" ht="40" customHeight="1">
      <c r="A10" s="35" t="inlineStr">
        <is>
          <t>M-05</t>
        </is>
      </c>
      <c r="B10" s="53" t="inlineStr">
        <is>
          <t>آب / Water</t>
        </is>
      </c>
      <c r="C10" s="31" t="inlineStr">
        <is>
          <t>آبنمای خطی</t>
        </is>
      </c>
      <c r="D10" s="64" t="inlineStr">
        <is>
          <t>Reflective • sensory • calm</t>
        </is>
      </c>
      <c r="E10" s="37" t="inlineStr">
        <is>
          <t>lm</t>
        </is>
      </c>
      <c r="F10" s="37" t="inlineStr">
        <is>
          <t>≈ 11</t>
        </is>
      </c>
      <c r="G10" s="40" t="inlineStr">
        <is>
          <t>گردش بسته و دسترسی سرویس (→ BOQ 06-01)</t>
        </is>
      </c>
    </row>
    <row r="11" ht="40" customHeight="1">
      <c r="A11" s="41" t="inlineStr">
        <is>
          <t>M-06</t>
        </is>
      </c>
      <c r="B11" s="51" t="inlineStr">
        <is>
          <t>خاک اصلاح‌شده و کمپوست / Amended Soil &amp; Compost</t>
        </is>
      </c>
      <c r="C11" s="33" t="inlineStr">
        <is>
          <t>بستر کاشت و باغ سبزی</t>
        </is>
      </c>
      <c r="D11" s="65" t="inlineStr">
        <is>
          <t>Living • fertile • local</t>
        </is>
      </c>
      <c r="E11" s="43" t="inlineStr">
        <is>
          <t>m³</t>
        </is>
      </c>
      <c r="F11" s="43" t="inlineStr">
        <is>
          <t>≈ 36</t>
        </is>
      </c>
      <c r="G11" s="46" t="inlineStr">
        <is>
          <t>جمع 28 خاک زراعی + 8 کمپوست (→ BOQ 02-02، 02-03)</t>
        </is>
      </c>
    </row>
    <row r="13" ht="26" customHeight="1">
      <c r="A13" s="30" t="inlineStr">
        <is>
          <t>مقادیر این برگه با برگه ۰۴ (BOQ) و برگه ۰۳ (مبانی) هم‌خوان شده‌اند؛ جمع سنگ 45 + 22 = 67 m² و جمع خاک 28 + 8 = 36 m³.</t>
        </is>
      </c>
      <c r="B13" s="49" t="n"/>
      <c r="C13" s="49" t="n"/>
      <c r="D13" s="49" t="n"/>
      <c r="E13" s="49" t="n"/>
      <c r="F13" s="49" t="n"/>
      <c r="G13" s="49" t="n"/>
    </row>
  </sheetData>
  <mergeCells count="6">
    <mergeCell ref="A1:D1"/>
    <mergeCell ref="A13:G13"/>
    <mergeCell ref="E2:G2"/>
    <mergeCell ref="A3:G3"/>
    <mergeCell ref="A2:D2"/>
    <mergeCell ref="E1:G1"/>
  </mergeCells>
  <printOptions horizontalCentered="1"/>
  <pageMargins left="0.35" right="0.35" top="0.45" bottom="0.45" header="0.2" footer="0.2"/>
  <pageSetup orientation="landscape" paperSize="9" fitToHeight="0" fitToWidth="1"/>
  <headerFooter>
    <oddHeader>&amp;L&amp;8 &amp;K59684FMAJID EISAPOUR   ·   Design &amp;&amp; Spatial Practice&amp;R&amp;8 &amp;K59684FBACKYARD LANDSCAPE · QAEMSHAHR   |   ME-LS-05   |   REV 02</oddHeader>
    <oddFooter>&amp;L&amp;8 &amp;K7C8B72Landscape Design &amp;&amp; Technical BOQ  —  دفترچه طراحی منظر و برآورد فنی&amp;R&amp;8 &amp;K7C8B72&amp;A   ·  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C0A163"/>
    <outlinePr summaryBelow="1" summaryRight="1"/>
    <pageSetUpPr fitToPage="1"/>
  </sheetPr>
  <dimension ref="A1:G13"/>
  <sheetViews>
    <sheetView showGridLines="0" rightToLeft="1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.5" customWidth="1" min="1" max="1"/>
    <col width="28" customWidth="1" min="2" max="2"/>
    <col width="30" customWidth="1" min="3" max="3"/>
    <col width="20" customWidth="1" min="4" max="4"/>
    <col width="10" customWidth="1" min="5" max="5"/>
    <col width="11" customWidth="1" min="6" max="6"/>
    <col width="52" customWidth="1" min="7" max="7"/>
  </cols>
  <sheetData>
    <row r="1" ht="38" customHeight="1">
      <c r="A1" s="23" t="inlineStr">
        <is>
          <t>PLANTING SCHEDULE</t>
        </is>
      </c>
      <c r="E1" s="24" t="inlineStr">
        <is>
          <t>ME-LS-06</t>
        </is>
      </c>
    </row>
    <row r="2" ht="22" customHeight="1">
      <c r="A2" s="25" t="inlineStr">
        <is>
          <t>پالت کاشت و برنامه سبز</t>
        </is>
      </c>
      <c r="E2" s="24" t="inlineStr">
        <is>
          <t>REV 02</t>
        </is>
      </c>
    </row>
    <row r="3" ht="19" customHeight="1">
      <c r="A3" s="26" t="inlineStr">
        <is>
          <t>A layered, seasonal and maintainable planting strategy  |  پالت کاشت لایه‌ای، فصلی و قابل نگهداری</t>
        </is>
      </c>
    </row>
    <row r="4" ht="3.5" customHeight="1">
      <c r="A4" s="5" t="n"/>
      <c r="B4" s="5" t="n"/>
      <c r="C4" s="5" t="n"/>
      <c r="D4" s="5" t="n"/>
      <c r="E4" s="5" t="n"/>
      <c r="F4" s="5" t="n"/>
      <c r="G4" s="5" t="n"/>
    </row>
    <row r="5" ht="30" customHeight="1">
      <c r="A5" s="27" t="inlineStr">
        <is>
          <t>کد / Code</t>
        </is>
      </c>
      <c r="B5" s="27" t="inlineStr">
        <is>
          <t>گروه / Group</t>
        </is>
      </c>
      <c r="C5" s="27" t="inlineStr">
        <is>
          <t>نقش / Role</t>
        </is>
      </c>
      <c r="D5" s="27" t="inlineStr">
        <is>
          <t>مکان / Zone</t>
        </is>
      </c>
      <c r="E5" s="27" t="inlineStr">
        <is>
          <t>واحد / Unit</t>
        </is>
      </c>
      <c r="F5" s="27" t="inlineStr">
        <is>
          <t>مقدار / Qty</t>
        </is>
      </c>
      <c r="G5" s="27" t="inlineStr">
        <is>
          <t>راهنمای انتخاب / Selection Guide</t>
        </is>
      </c>
    </row>
    <row r="6" ht="38" customHeight="1">
      <c r="A6" s="35" t="inlineStr">
        <is>
          <t>P-01</t>
        </is>
      </c>
      <c r="B6" s="53" t="inlineStr">
        <is>
          <t>درخت شاخص / Specimen</t>
        </is>
      </c>
      <c r="C6" s="31" t="inlineStr">
        <is>
          <t>Focal tree / نقطه کانونی</t>
        </is>
      </c>
      <c r="D6" s="37" t="inlineStr">
        <is>
          <t>مرکز باغ</t>
        </is>
      </c>
      <c r="E6" s="37" t="inlineStr">
        <is>
          <t>عدد</t>
        </is>
      </c>
      <c r="F6" s="37" t="inlineStr">
        <is>
          <t>2</t>
        </is>
      </c>
      <c r="G6" s="40" t="inlineStr">
        <is>
          <t>فرم معماری، سایه ملایم، سازگار با اقلیم (→ BOQ 08-02)</t>
        </is>
      </c>
    </row>
    <row r="7" ht="38" customHeight="1">
      <c r="A7" s="41" t="inlineStr">
        <is>
          <t>P-02</t>
        </is>
      </c>
      <c r="B7" s="51" t="inlineStr">
        <is>
          <t>درخت میوه / Fruit</t>
        </is>
      </c>
      <c r="C7" s="33" t="inlineStr">
        <is>
          <t>Productive layer / لایه تولیدی</t>
        </is>
      </c>
      <c r="D7" s="43" t="inlineStr">
        <is>
          <t>شمال</t>
        </is>
      </c>
      <c r="E7" s="43" t="inlineStr">
        <is>
          <t>عدد</t>
        </is>
      </c>
      <c r="F7" s="43" t="inlineStr">
        <is>
          <t>4</t>
        </is>
      </c>
      <c r="G7" s="46" t="inlineStr">
        <is>
          <t>گونه‌های سازگار با اقلیم و نگهداری واقعی (→ BOQ 08-03)</t>
        </is>
      </c>
    </row>
    <row r="8" ht="38" customHeight="1">
      <c r="A8" s="35" t="inlineStr">
        <is>
          <t>P-03</t>
        </is>
      </c>
      <c r="B8" s="53" t="inlineStr">
        <is>
          <t>درختچه / Shrub</t>
        </is>
      </c>
      <c r="C8" s="31" t="inlineStr">
        <is>
          <t>Structure + texture / ساختار و بافت</t>
        </is>
      </c>
      <c r="D8" s="37" t="inlineStr">
        <is>
          <t>حاشیه‌ها</t>
        </is>
      </c>
      <c r="E8" s="37" t="inlineStr">
        <is>
          <t>عدد</t>
        </is>
      </c>
      <c r="F8" s="37" t="inlineStr">
        <is>
          <t>35</t>
        </is>
      </c>
      <c r="G8" s="40" t="inlineStr">
        <is>
          <t>ترکیب همیشه‌سبز و فصلی (→ BOQ 08-04)</t>
        </is>
      </c>
    </row>
    <row r="9" ht="38" customHeight="1">
      <c r="A9" s="41" t="inlineStr">
        <is>
          <t>P-04</t>
        </is>
      </c>
      <c r="B9" s="51" t="inlineStr">
        <is>
          <t>پرچین / Hedge</t>
        </is>
      </c>
      <c r="C9" s="33" t="inlineStr">
        <is>
          <t>Filter + frame / فیلتر و قاب</t>
        </is>
      </c>
      <c r="D9" s="43" t="inlineStr">
        <is>
          <t>لبه‌ها</t>
        </is>
      </c>
      <c r="E9" s="43" t="inlineStr">
        <is>
          <t>lm</t>
        </is>
      </c>
      <c r="F9" s="43" t="inlineStr">
        <is>
          <t>25</t>
        </is>
      </c>
      <c r="G9" s="46" t="inlineStr">
        <is>
          <t>ارتفاع نهایی کنترل‌شده؛ در ردیف 08-04 لحاظ شده است</t>
        </is>
      </c>
    </row>
    <row r="10" ht="38" customHeight="1">
      <c r="A10" s="35" t="inlineStr">
        <is>
          <t>P-05</t>
        </is>
      </c>
      <c r="B10" s="53" t="inlineStr">
        <is>
          <t>سبزی فصلی / Seasonal Vegetable</t>
        </is>
      </c>
      <c r="C10" s="31" t="inlineStr">
        <is>
          <t>Edible landscape / منظر خوراکی</t>
        </is>
      </c>
      <c r="D10" s="37" t="inlineStr">
        <is>
          <t>باغ سبزی شمال</t>
        </is>
      </c>
      <c r="E10" s="37" t="inlineStr">
        <is>
          <t>m²</t>
        </is>
      </c>
      <c r="F10" s="37" t="inlineStr">
        <is>
          <t>90</t>
        </is>
      </c>
      <c r="G10" s="40" t="inlineStr">
        <is>
          <t>بستر خالص از زون 120 m² باغ سبزی (→ B-05، BOQ 09-01)</t>
        </is>
      </c>
    </row>
    <row r="11" ht="38" customHeight="1">
      <c r="A11" s="41" t="inlineStr">
        <is>
          <t>P-06</t>
        </is>
      </c>
      <c r="B11" s="51" t="inlineStr">
        <is>
          <t>چمن / Lawn</t>
        </is>
      </c>
      <c r="C11" s="33" t="inlineStr">
        <is>
          <t>Visual breathing room / تنفس بصری</t>
        </is>
      </c>
      <c r="D11" s="43" t="inlineStr">
        <is>
          <t>مرکز</t>
        </is>
      </c>
      <c r="E11" s="43" t="inlineStr">
        <is>
          <t>m²</t>
        </is>
      </c>
      <c r="F11" s="43" t="inlineStr">
        <is>
          <t>140</t>
        </is>
      </c>
      <c r="G11" s="46" t="inlineStr">
        <is>
          <t>سطح یکدست و مقاوم (→ BOQ 08-01)</t>
        </is>
      </c>
    </row>
    <row r="13" ht="26" customHeight="1">
      <c r="A13" s="30" t="inlineStr">
        <is>
          <t>باغ سبزی: زون 120 m² شامل 90 m² بستر کاشت و 30 m² مسیر و دسترسی  ·  پرچین 25 متر طول در ردیف 08-04 برآورد شده است.</t>
        </is>
      </c>
      <c r="B13" s="49" t="n"/>
      <c r="C13" s="49" t="n"/>
      <c r="D13" s="49" t="n"/>
      <c r="E13" s="49" t="n"/>
      <c r="F13" s="49" t="n"/>
      <c r="G13" s="49" t="n"/>
    </row>
  </sheetData>
  <mergeCells count="6">
    <mergeCell ref="A1:D1"/>
    <mergeCell ref="A13:G13"/>
    <mergeCell ref="E2:G2"/>
    <mergeCell ref="A3:G3"/>
    <mergeCell ref="A2:D2"/>
    <mergeCell ref="E1:G1"/>
  </mergeCells>
  <printOptions horizontalCentered="1"/>
  <pageMargins left="0.35" right="0.35" top="0.45" bottom="0.45" header="0.2" footer="0.2"/>
  <pageSetup orientation="landscape" paperSize="9" fitToHeight="0" fitToWidth="1"/>
  <headerFooter>
    <oddHeader>&amp;L&amp;8 &amp;K59684FMAJID EISAPOUR   ·   Design &amp;&amp; Spatial Practice&amp;R&amp;8 &amp;K59684FBACKYARD LANDSCAPE · QAEMSHAHR   |   ME-LS-06   |   REV 02</oddHeader>
    <oddFooter>&amp;L&amp;8 &amp;K7C8B72Landscape Design &amp;&amp; Technical BOQ  —  دفترچه طراحی منظر و برآورد فنی&amp;R&amp;8 &amp;K7C8B72&amp;A   ·  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C0A163"/>
    <outlinePr summaryBelow="1" summaryRight="1"/>
    <pageSetUpPr fitToPage="1"/>
  </sheetPr>
  <dimension ref="A1:G13"/>
  <sheetViews>
    <sheetView showGridLines="0" rightToLeft="1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.5" customWidth="1" min="1" max="1"/>
    <col width="15" customWidth="1" min="2" max="2"/>
    <col width="27" customWidth="1" min="3" max="3"/>
    <col width="10" customWidth="1" min="4" max="4"/>
    <col width="10" customWidth="1" min="5" max="5"/>
    <col width="34" customWidth="1" min="6" max="6"/>
    <col width="50" customWidth="1" min="7" max="7"/>
  </cols>
  <sheetData>
    <row r="1" ht="38" customHeight="1">
      <c r="A1" s="23" t="inlineStr">
        <is>
          <t>LIGHTING &amp; IRRIGATION</t>
        </is>
      </c>
      <c r="E1" s="24" t="inlineStr">
        <is>
          <t>ME-LS-07</t>
        </is>
      </c>
    </row>
    <row r="2" ht="22" customHeight="1">
      <c r="A2" s="25" t="inlineStr">
        <is>
          <t>نورپردازی و آبیاری</t>
        </is>
      </c>
      <c r="E2" s="24" t="inlineStr">
        <is>
          <t>REV 02</t>
        </is>
      </c>
    </row>
    <row r="3" ht="19" customHeight="1">
      <c r="A3" s="26" t="inlineStr">
        <is>
          <t>Invisible infrastructure, visible atmosphere  |  زیرساخت نامرئی، اتمسفرِ محسوس</t>
        </is>
      </c>
    </row>
    <row r="4" ht="3.5" customHeight="1">
      <c r="A4" s="5" t="n"/>
      <c r="B4" s="5" t="n"/>
      <c r="C4" s="5" t="n"/>
      <c r="D4" s="5" t="n"/>
      <c r="E4" s="5" t="n"/>
      <c r="F4" s="5" t="n"/>
      <c r="G4" s="5" t="n"/>
    </row>
    <row r="5" ht="30" customHeight="1">
      <c r="A5" s="27" t="inlineStr">
        <is>
          <t>کد / Code</t>
        </is>
      </c>
      <c r="B5" s="27" t="inlineStr">
        <is>
          <t>سیستم / System</t>
        </is>
      </c>
      <c r="C5" s="27" t="inlineStr">
        <is>
          <t>عنصر / Element</t>
        </is>
      </c>
      <c r="D5" s="27" t="inlineStr">
        <is>
          <t>واحد / Unit</t>
        </is>
      </c>
      <c r="E5" s="27" t="inlineStr">
        <is>
          <t>مقدار / Qty</t>
        </is>
      </c>
      <c r="F5" s="27" t="inlineStr">
        <is>
          <t>اصل طراحی / Design Principle</t>
        </is>
      </c>
      <c r="G5" s="27" t="inlineStr">
        <is>
          <t>نکته فنی / Technical Note</t>
        </is>
      </c>
    </row>
    <row r="6" ht="36" customHeight="1">
      <c r="A6" s="35" t="inlineStr">
        <is>
          <t>L-01</t>
        </is>
      </c>
      <c r="B6" s="66" t="inlineStr">
        <is>
          <t>Lighting</t>
        </is>
      </c>
      <c r="C6" s="31" t="inlineStr">
        <is>
          <t>چراغ مسیر / Path Light</t>
        </is>
      </c>
      <c r="D6" s="37" t="inlineStr">
        <is>
          <t>عدد</t>
        </is>
      </c>
      <c r="E6" s="37" t="inlineStr">
        <is>
          <t>10</t>
        </is>
      </c>
      <c r="F6" s="40" t="inlineStr">
        <is>
          <t>Low glow / نور کم‌ارتفاع</t>
        </is>
      </c>
      <c r="G6" s="40" t="inlineStr">
        <is>
          <t>IP مناسب فضای باز؛ خیرگی کنترل شود (→ BOQ 10-01)</t>
        </is>
      </c>
    </row>
    <row r="7" ht="36" customHeight="1">
      <c r="A7" s="41" t="inlineStr">
        <is>
          <t>L-02</t>
        </is>
      </c>
      <c r="B7" s="67" t="inlineStr">
        <is>
          <t>Lighting</t>
        </is>
      </c>
      <c r="C7" s="33" t="inlineStr">
        <is>
          <t>چراغ توکار / Inground</t>
        </is>
      </c>
      <c r="D7" s="43" t="inlineStr">
        <is>
          <t>عدد</t>
        </is>
      </c>
      <c r="E7" s="43" t="inlineStr">
        <is>
          <t>8</t>
        </is>
      </c>
      <c r="F7" s="46" t="inlineStr">
        <is>
          <t>Accentuate architecture / تأکید معماری</t>
        </is>
      </c>
      <c r="G7" s="46" t="inlineStr">
        <is>
          <t>دسترسی سرویس و درین مناسب (→ BOQ 10-02)</t>
        </is>
      </c>
    </row>
    <row r="8" ht="36" customHeight="1">
      <c r="A8" s="35" t="inlineStr">
        <is>
          <t>L-03</t>
        </is>
      </c>
      <c r="B8" s="66" t="inlineStr">
        <is>
          <t>Lighting</t>
        </is>
      </c>
      <c r="C8" s="31" t="inlineStr">
        <is>
          <t>نور خطی آب / Water Light</t>
        </is>
      </c>
      <c r="D8" s="37" t="inlineStr">
        <is>
          <t>lm</t>
        </is>
      </c>
      <c r="E8" s="37" t="inlineStr">
        <is>
          <t>10</t>
        </is>
      </c>
      <c r="F8" s="40" t="inlineStr">
        <is>
          <t>Continuous reflection / بازتاب پیوسته</t>
        </is>
      </c>
      <c r="G8" s="40" t="inlineStr">
        <is>
          <t>کاملاً مناسب محیط مرطوب (→ BOQ 10-03)</t>
        </is>
      </c>
    </row>
    <row r="9" ht="36" customHeight="1">
      <c r="A9" s="41" t="inlineStr">
        <is>
          <t>I-01</t>
        </is>
      </c>
      <c r="B9" s="67" t="inlineStr">
        <is>
          <t>Irrigation</t>
        </is>
      </c>
      <c r="C9" s="33" t="inlineStr">
        <is>
          <t>شبکه اصلی / Main Line</t>
        </is>
      </c>
      <c r="D9" s="43" t="inlineStr">
        <is>
          <t>lm</t>
        </is>
      </c>
      <c r="E9" s="43" t="inlineStr">
        <is>
          <t>120</t>
        </is>
      </c>
      <c r="F9" s="46" t="inlineStr">
        <is>
          <t>Efficient distribution / توزیع کارا</t>
        </is>
      </c>
      <c r="G9" s="46" t="inlineStr">
        <is>
          <t>تفکیک زون‌های آبیاری (→ BOQ 07-01)</t>
        </is>
      </c>
    </row>
    <row r="10" ht="36" customHeight="1">
      <c r="A10" s="35" t="inlineStr">
        <is>
          <t>I-02</t>
        </is>
      </c>
      <c r="B10" s="66" t="inlineStr">
        <is>
          <t>Irrigation</t>
        </is>
      </c>
      <c r="C10" s="31" t="inlineStr">
        <is>
          <t>خط قطره‌ای / Drip Line</t>
        </is>
      </c>
      <c r="D10" s="37" t="inlineStr">
        <is>
          <t>lm</t>
        </is>
      </c>
      <c r="E10" s="37" t="inlineStr">
        <is>
          <t>350</t>
        </is>
      </c>
      <c r="F10" s="40" t="inlineStr">
        <is>
          <t>Water efficiency / بازده آبی</t>
        </is>
      </c>
      <c r="G10" s="40" t="inlineStr">
        <is>
          <t>ویژه باغ سبزی و کاشت (→ BOQ 07-02)</t>
        </is>
      </c>
    </row>
    <row r="11" ht="36" customHeight="1">
      <c r="A11" s="41" t="inlineStr">
        <is>
          <t>I-03</t>
        </is>
      </c>
      <c r="B11" s="67" t="inlineStr">
        <is>
          <t>Irrigation</t>
        </is>
      </c>
      <c r="C11" s="33" t="inlineStr">
        <is>
          <t>شیر برقی / Solenoid Valve</t>
        </is>
      </c>
      <c r="D11" s="43" t="inlineStr">
        <is>
          <t>عدد</t>
        </is>
      </c>
      <c r="E11" s="43" t="inlineStr">
        <is>
          <t>6</t>
        </is>
      </c>
      <c r="F11" s="46" t="inlineStr">
        <is>
          <t>Zone control / کنترل زون</t>
        </is>
      </c>
      <c r="G11" s="46" t="inlineStr">
        <is>
          <t>دسترسی برای تعمیرات (→ BOQ 07-01)</t>
        </is>
      </c>
    </row>
    <row r="13" ht="26" customHeight="1">
      <c r="A13" s="30" t="inlineStr">
        <is>
          <t>شبکه اصلی آبیاری (120 lm) و شیرهای برقی (6 عدد) در ردیف 07-01 برآورد لحاظ شده‌اند؛ خط قطره‌ای 350 lm در ردیف 07-02.</t>
        </is>
      </c>
      <c r="B13" s="49" t="n"/>
      <c r="C13" s="49" t="n"/>
      <c r="D13" s="49" t="n"/>
      <c r="E13" s="49" t="n"/>
      <c r="F13" s="49" t="n"/>
      <c r="G13" s="49" t="n"/>
    </row>
  </sheetData>
  <mergeCells count="6">
    <mergeCell ref="A1:D1"/>
    <mergeCell ref="A13:G13"/>
    <mergeCell ref="E2:G2"/>
    <mergeCell ref="A3:G3"/>
    <mergeCell ref="A2:D2"/>
    <mergeCell ref="E1:G1"/>
  </mergeCells>
  <printOptions horizontalCentered="1"/>
  <pageMargins left="0.35" right="0.35" top="0.45" bottom="0.45" header="0.2" footer="0.2"/>
  <pageSetup orientation="landscape" paperSize="9" fitToHeight="0" fitToWidth="1"/>
  <headerFooter>
    <oddHeader>&amp;L&amp;8 &amp;K59684FMAJID EISAPOUR   ·   Design &amp;&amp; Spatial Practice&amp;R&amp;8 &amp;K59684FBACKYARD LANDSCAPE · QAEMSHAHR   |   ME-LS-07   |   REV 02</oddHeader>
    <oddFooter>&amp;L&amp;8 &amp;K7C8B72Landscape Design &amp;&amp; Technical BOQ  —  دفترچه طراحی منظر و برآورد فنی&amp;R&amp;8 &amp;K7C8B72&amp;A   ·  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7C8B72"/>
    <outlinePr summaryBelow="1" summaryRight="1"/>
    <pageSetUpPr fitToPage="1"/>
  </sheetPr>
  <dimension ref="A1:F16"/>
  <sheetViews>
    <sheetView showGridLines="0" rightToLeft="1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6" customWidth="1" min="3" max="3"/>
    <col width="18" customWidth="1" min="4" max="4"/>
    <col width="18" customWidth="1" min="5" max="5"/>
    <col width="18" customWidth="1" min="6" max="6"/>
  </cols>
  <sheetData>
    <row r="1" ht="38" customHeight="1">
      <c r="A1" s="23" t="inlineStr">
        <is>
          <t>TECHNICAL NOTES &amp; QA</t>
        </is>
      </c>
      <c r="D1" s="24" t="inlineStr">
        <is>
          <t>ME-LS-08</t>
        </is>
      </c>
    </row>
    <row r="2" ht="22" customHeight="1">
      <c r="A2" s="25" t="inlineStr">
        <is>
          <t>یادداشت‌های اجرایی و کنترل کیفیت</t>
        </is>
      </c>
      <c r="D2" s="24" t="inlineStr">
        <is>
          <t>REV 02</t>
        </is>
      </c>
    </row>
    <row r="3" ht="19" customHeight="1">
      <c r="A3" s="26" t="inlineStr">
        <is>
          <t>Clear instructions for tender, execution and handover  |  دستور کار روشن برای استعلام، اجرا و تحویل</t>
        </is>
      </c>
    </row>
    <row r="4" ht="3.5" customHeight="1">
      <c r="A4" s="5" t="n"/>
      <c r="B4" s="5" t="n"/>
      <c r="C4" s="5" t="n"/>
      <c r="D4" s="5" t="n"/>
      <c r="E4" s="5" t="n"/>
      <c r="F4" s="5" t="n"/>
    </row>
    <row r="5" ht="28" customHeight="1">
      <c r="A5" s="27" t="inlineStr">
        <is>
          <t>کد / Code</t>
        </is>
      </c>
      <c r="B5" s="27" t="inlineStr">
        <is>
          <t>موضوع / Topic</t>
        </is>
      </c>
      <c r="C5" s="68" t="inlineStr">
        <is>
          <t>دستورالعمل / Instruction</t>
        </is>
      </c>
      <c r="D5" s="69" t="n"/>
      <c r="E5" s="69" t="n"/>
      <c r="F5" s="69" t="n"/>
    </row>
    <row r="6" ht="42" customHeight="1">
      <c r="A6" s="35" t="inlineStr">
        <is>
          <t>TN-01</t>
        </is>
      </c>
      <c r="B6" s="53" t="inlineStr">
        <is>
          <t>زیرسازی / Subbase</t>
        </is>
      </c>
      <c r="C6" s="31" t="inlineStr">
        <is>
          <t>تمام سطوح سخت پیش از اجرای لایه نهایی باید متراکم، تراز و دارای شیب کنترل‌شده باشند (→ BOQ 03-02).</t>
        </is>
      </c>
      <c r="D6" s="31" t="n"/>
      <c r="E6" s="31" t="n"/>
      <c r="F6" s="31" t="n"/>
    </row>
    <row r="7" ht="42" customHeight="1">
      <c r="A7" s="41" t="inlineStr">
        <is>
          <t>TN-02</t>
        </is>
      </c>
      <c r="B7" s="51" t="inlineStr">
        <is>
          <t>زهکشی / Drainage</t>
        </is>
      </c>
      <c r="C7" s="33" t="inlineStr">
        <is>
          <t>در اقلیم مرطوب، مسیر آب سطحی باید پیش از کف‌سازی حل شود؛ آب نباید به سازه پاویون هدایت شود.</t>
        </is>
      </c>
      <c r="D7" s="33" t="n"/>
      <c r="E7" s="33" t="n"/>
      <c r="F7" s="33" t="n"/>
    </row>
    <row r="8" ht="42" customHeight="1">
      <c r="A8" s="35" t="inlineStr">
        <is>
          <t>TN-03</t>
        </is>
      </c>
      <c r="B8" s="53" t="inlineStr">
        <is>
          <t>پاویون / Pavilion</t>
        </is>
      </c>
      <c r="C8" s="31" t="inlineStr">
        <is>
          <t>ابعاد این دفتر مفهومی است؛ نقشه سازه، فونداسیون، اتصالات و جزئیات نهایی توسط مهندس ذی‌صلاح تأیید شود (→ BOQ 04).</t>
        </is>
      </c>
      <c r="D8" s="31" t="n"/>
      <c r="E8" s="31" t="n"/>
      <c r="F8" s="31" t="n"/>
    </row>
    <row r="9" ht="42" customHeight="1">
      <c r="A9" s="41" t="inlineStr">
        <is>
          <t>TN-04</t>
        </is>
      </c>
      <c r="B9" s="51" t="inlineStr">
        <is>
          <t>چوب / Timber</t>
        </is>
      </c>
      <c r="C9" s="33" t="inlineStr">
        <is>
          <t>ترمووود باید از تأمین‌کننده معتبر و با گرید مناسب فضای بیرونی تهیه شود؛ زیرسازی و تهویه پشت چوب الزامی است (→ M-02).</t>
        </is>
      </c>
      <c r="D9" s="33" t="n"/>
      <c r="E9" s="33" t="n"/>
      <c r="F9" s="33" t="n"/>
    </row>
    <row r="10" ht="42" customHeight="1">
      <c r="A10" s="35" t="inlineStr">
        <is>
          <t>TN-05</t>
        </is>
      </c>
      <c r="B10" s="53" t="inlineStr">
        <is>
          <t>نور / Lighting</t>
        </is>
      </c>
      <c r="C10" s="31" t="inlineStr">
        <is>
          <t>چراغ‌های فضای باز باید برای محیط مرطوب و بارندگی انتخاب شوند؛ مسیر کابل و دسترسی تعمیرات از ابتدا پیش‌بینی شود (→ BOQ 10).</t>
        </is>
      </c>
      <c r="D10" s="31" t="n"/>
      <c r="E10" s="31" t="n"/>
      <c r="F10" s="31" t="n"/>
    </row>
    <row r="11" ht="42" customHeight="1">
      <c r="A11" s="41" t="inlineStr">
        <is>
          <t>TN-06</t>
        </is>
      </c>
      <c r="B11" s="51" t="inlineStr">
        <is>
          <t>آب / Water</t>
        </is>
      </c>
      <c r="C11" s="33" t="inlineStr">
        <is>
          <t>آبنمای خطی باید دارای گردش بسته، دسترسی سرویس، آب‌بندی مناسب و امکان تخلیه باشد (→ BOQ 06-01).</t>
        </is>
      </c>
      <c r="D11" s="33" t="n"/>
      <c r="E11" s="33" t="n"/>
      <c r="F11" s="33" t="n"/>
    </row>
    <row r="12" ht="42" customHeight="1">
      <c r="A12" s="35" t="inlineStr">
        <is>
          <t>TN-07</t>
        </is>
      </c>
      <c r="B12" s="53" t="inlineStr">
        <is>
          <t>کاشت / Planting</t>
        </is>
      </c>
      <c r="C12" s="31" t="inlineStr">
        <is>
          <t>گونه‌ها بر اساس رطوبت، زهکشی، نور، نگهداری و دسترسی محلی نهایی شوند؛ این فهرست جایگزین انتخاب گیاه توسط مجری نیست.</t>
        </is>
      </c>
      <c r="D12" s="31" t="n"/>
      <c r="E12" s="31" t="n"/>
      <c r="F12" s="31" t="n"/>
    </row>
    <row r="13" ht="42" customHeight="1">
      <c r="A13" s="41" t="inlineStr">
        <is>
          <t>TN-08</t>
        </is>
      </c>
      <c r="B13" s="51" t="inlineStr">
        <is>
          <t>لبه خدماتی / Existing Service Edge</t>
        </is>
      </c>
      <c r="C13" s="33" t="inlineStr">
        <is>
          <t>انبار، فضای شست‌وشوی نیمه‌باز و لابی موجود در دامنه طراحی مجدد نیستند و باید در زمان اجرا حفظ شوند (→ B-06).</t>
        </is>
      </c>
      <c r="D13" s="33" t="n"/>
      <c r="E13" s="33" t="n"/>
      <c r="F13" s="33" t="n"/>
    </row>
    <row r="14" ht="42" customHeight="1">
      <c r="A14" s="35" t="inlineStr">
        <is>
          <t>TN-09</t>
        </is>
      </c>
      <c r="B14" s="53" t="inlineStr">
        <is>
          <t>مبنای برآورد / Estimating Basis</t>
        </is>
      </c>
      <c r="C14" s="31" t="inlineStr">
        <is>
          <t>تمام مقادیر از مبانی برگه 03 استخراج شده‌اند؛ پیش از اجرا برداشت نهایی (Take-off) و استعلام قیمت انجام شود. ردیف‌های مربوط به پرچین و شیر برقی در آیتم‌های 08-04 و 07-01 لحاظ شده‌اند. قیمت‌ها بدون احتساب مالیات بر ارزش افزوده است (→ BOQ).</t>
        </is>
      </c>
      <c r="D14" s="31" t="n"/>
      <c r="E14" s="31" t="n"/>
      <c r="F14" s="31" t="n"/>
    </row>
    <row r="16" ht="26" customHeight="1">
      <c r="A16" s="30" t="inlineStr">
        <is>
          <t>این یادداشت‌ها مکمل برگه ۰۴ هستند و در زمان استعلام قیمت و اجرا باید به پیمانکار ابلاغ شوند.</t>
        </is>
      </c>
      <c r="B16" s="49" t="n"/>
      <c r="C16" s="49" t="n"/>
      <c r="D16" s="49" t="n"/>
      <c r="E16" s="49" t="n"/>
      <c r="F16" s="49" t="n"/>
    </row>
  </sheetData>
  <mergeCells count="16">
    <mergeCell ref="D2:F2"/>
    <mergeCell ref="C10:F10"/>
    <mergeCell ref="C9:F9"/>
    <mergeCell ref="C13:F13"/>
    <mergeCell ref="A16:F16"/>
    <mergeCell ref="A1:C1"/>
    <mergeCell ref="C8:F8"/>
    <mergeCell ref="C12:F12"/>
    <mergeCell ref="C6:F6"/>
    <mergeCell ref="C7:F7"/>
    <mergeCell ref="C11:F11"/>
    <mergeCell ref="C14:F14"/>
    <mergeCell ref="A3:F3"/>
    <mergeCell ref="C5:F5"/>
    <mergeCell ref="D1:F1"/>
    <mergeCell ref="A2:C2"/>
  </mergeCells>
  <printOptions horizontalCentered="1"/>
  <pageMargins left="0.35" right="0.35" top="0.45" bottom="0.45" header="0.2" footer="0.2"/>
  <pageSetup orientation="landscape" paperSize="9" fitToHeight="0" fitToWidth="1"/>
  <headerFooter>
    <oddHeader>&amp;L&amp;8 &amp;K59684FMAJID EISAPOUR   ·   Design &amp;&amp; Spatial Practice&amp;R&amp;8 &amp;K59684FBACKYARD LANDSCAPE · QAEMSHAHR   |   ME-LS-08   |   REV 02</oddHeader>
    <oddFooter>&amp;L&amp;8 &amp;K7C8B72Landscape Design &amp;&amp; Technical BOQ  —  دفترچه طراحی منظر و برآورد فنی&amp;R&amp;8 &amp;K7C8B72&amp;A   ·  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B4713F"/>
    <outlinePr summaryBelow="1" summaryRight="1"/>
    <pageSetUpPr fitToPage="1"/>
  </sheetPr>
  <dimension ref="A1:H26"/>
  <sheetViews>
    <sheetView showGridLines="0" rightToLeft="1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2" customWidth="1" min="3" max="3"/>
    <col width="13" customWidth="1" min="4" max="4"/>
    <col width="3" customWidth="1" min="5" max="5"/>
    <col width="16" customWidth="1" min="6" max="6"/>
    <col width="16" customWidth="1" min="7" max="7"/>
    <col width="16" customWidth="1" min="8" max="8"/>
  </cols>
  <sheetData>
    <row r="1" ht="38" customHeight="1">
      <c r="A1" s="23" t="inlineStr">
        <is>
          <t>COST SUMMARY &amp; CONTROL</t>
        </is>
      </c>
      <c r="F1" s="24" t="inlineStr">
        <is>
          <t>ME-LS-09</t>
        </is>
      </c>
    </row>
    <row r="2" ht="22" customHeight="1">
      <c r="A2" s="25" t="inlineStr">
        <is>
          <t>خلاصه هزینه و کنترل برآورد</t>
        </is>
      </c>
      <c r="F2" s="24" t="inlineStr">
        <is>
          <t>REV 02</t>
        </is>
      </c>
    </row>
    <row r="3" ht="19" customHeight="1">
      <c r="A3" s="26" t="inlineStr">
        <is>
          <t>A decision-ready financial snapshot  ·  مبالغ به تومان  |  نمای مالی خوانا و تصمیم‌پذیر</t>
        </is>
      </c>
    </row>
    <row r="4" ht="3.5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28" customHeight="1">
      <c r="A5" s="27" t="inlineStr">
        <is>
          <t>بخش / Section</t>
        </is>
      </c>
      <c r="B5" s="27" t="inlineStr">
        <is>
          <t>جمع / Total (Toman)</t>
        </is>
      </c>
      <c r="C5" s="27" t="inlineStr">
        <is>
          <t>سهم / Share</t>
        </is>
      </c>
      <c r="D5" s="27" t="inlineStr">
        <is>
          <t>کنترل / Check</t>
        </is>
      </c>
      <c r="E5" s="70" t="inlineStr"/>
      <c r="F5" s="70" t="inlineStr"/>
      <c r="G5" s="70" t="inlineStr"/>
      <c r="H5" s="70" t="inlineStr"/>
    </row>
    <row r="6" ht="26" customHeight="1">
      <c r="A6" s="31" t="inlineStr">
        <is>
          <t>01–02  |  آماده‌سازی و زیرسازی / Preparation &amp; Subbase</t>
        </is>
      </c>
      <c r="B6" s="54">
        <f>SUM('04 | BOQ | برآورد'!G7:G11)</f>
        <v/>
      </c>
      <c r="C6" s="71">
        <f>B6/$B$15</f>
        <v/>
      </c>
      <c r="D6" s="72">
        <f>IF(ABS(B6-SUM('04 | BOQ | برآورد'!G7:G11))&lt;1,"OK","CHECK")</f>
        <v/>
      </c>
    </row>
    <row r="7" ht="26" customHeight="1">
      <c r="A7" s="33" t="inlineStr">
        <is>
          <t>03  |  کف‌پوش و محوطه سخت / Paving &amp; Hardscape</t>
        </is>
      </c>
      <c r="B7" s="52">
        <f>SUM('04 | BOQ | برآورد'!G14:G15)</f>
        <v/>
      </c>
      <c r="C7" s="73">
        <f>B7/$B$15</f>
        <v/>
      </c>
      <c r="D7" s="74">
        <f>IF(ABS(B7-SUM('04 | BOQ | برآورد'!G14:G15))&lt;1,"OK","CHECK")</f>
        <v/>
      </c>
    </row>
    <row r="8" ht="26" customHeight="1">
      <c r="A8" s="31" t="inlineStr">
        <is>
          <t>04  |  پاویون / Pavilion</t>
        </is>
      </c>
      <c r="B8" s="54">
        <f>SUM('04 | BOQ | برآورد'!G18:G21)</f>
        <v/>
      </c>
      <c r="C8" s="71">
        <f>B8/$B$15</f>
        <v/>
      </c>
      <c r="D8" s="72">
        <f>IF(ABS(B8-SUM('04 | BOQ | برآورد'!G18:G21))&lt;1,"OK","CHECK")</f>
        <v/>
      </c>
    </row>
    <row r="9" ht="26" customHeight="1">
      <c r="A9" s="33" t="inlineStr">
        <is>
          <t>05–06  |  تراس و آبنما / Terrace &amp; Water</t>
        </is>
      </c>
      <c r="B9" s="52">
        <f>SUM('04 | BOQ | برآورد'!G24:G26)</f>
        <v/>
      </c>
      <c r="C9" s="73">
        <f>B9/$B$15</f>
        <v/>
      </c>
      <c r="D9" s="74">
        <f>IF(ABS(B9-SUM('04 | BOQ | برآورد'!G24:G26))&lt;1,"OK","CHECK")</f>
        <v/>
      </c>
    </row>
    <row r="10" ht="26" customHeight="1">
      <c r="A10" s="31" t="inlineStr">
        <is>
          <t>07  |  آبیاری / Irrigation</t>
        </is>
      </c>
      <c r="B10" s="54">
        <f>SUM('04 | BOQ | برآورد'!G28:G29)</f>
        <v/>
      </c>
      <c r="C10" s="71">
        <f>B10/$B$15</f>
        <v/>
      </c>
      <c r="D10" s="72">
        <f>IF(ABS(B10-SUM('04 | BOQ | برآورد'!G28:G29))&lt;1,"OK","CHECK")</f>
        <v/>
      </c>
    </row>
    <row r="11" ht="26" customHeight="1">
      <c r="A11" s="33" t="inlineStr">
        <is>
          <t>08  |  کاشت و چمن / Planting &amp; Lawn</t>
        </is>
      </c>
      <c r="B11" s="52">
        <f>SUM('04 | BOQ | برآورد'!G32:G35)</f>
        <v/>
      </c>
      <c r="C11" s="73">
        <f>B11/$B$15</f>
        <v/>
      </c>
      <c r="D11" s="74">
        <f>IF(ABS(B11-SUM('04 | BOQ | برآورد'!G32:G35))&lt;1,"OK","CHECK")</f>
        <v/>
      </c>
    </row>
    <row r="12" ht="26" customHeight="1">
      <c r="A12" s="31" t="inlineStr">
        <is>
          <t>09  |  باغ سبزی / Kitchen Garden</t>
        </is>
      </c>
      <c r="B12" s="54">
        <f>'04 | BOQ | برآورد'!G38</f>
        <v/>
      </c>
      <c r="C12" s="71">
        <f>B12/$B$15</f>
        <v/>
      </c>
      <c r="D12" s="72">
        <f>IF(ABS(B12-'04 | BOQ | برآورد'!G38)&lt;1,"OK","CHECK")</f>
        <v/>
      </c>
    </row>
    <row r="13" ht="26" customHeight="1">
      <c r="A13" s="33" t="inlineStr">
        <is>
          <t>10  |  روشنایی / Lighting</t>
        </is>
      </c>
      <c r="B13" s="52">
        <f>SUM('04 | BOQ | برآورد'!G40:G42)</f>
        <v/>
      </c>
      <c r="C13" s="73">
        <f>B13/$B$15</f>
        <v/>
      </c>
      <c r="D13" s="74">
        <f>IF(ABS(B13-SUM('04 | BOQ | برآورد'!G40:G42))&lt;1,"OK","CHECK")</f>
        <v/>
      </c>
    </row>
    <row r="14" ht="26" customHeight="1">
      <c r="A14" s="31" t="inlineStr">
        <is>
          <t>11  |  کنترل کیفیت و تحویل / QA &amp; Handover</t>
        </is>
      </c>
      <c r="B14" s="54">
        <f>'04 | BOQ | برآورد'!G45</f>
        <v/>
      </c>
      <c r="C14" s="71">
        <f>B14/$B$15</f>
        <v/>
      </c>
      <c r="D14" s="72">
        <f>IF(ABS(B14-'04 | BOQ | برآورد'!G45)&lt;1,"OK","CHECK")</f>
        <v/>
      </c>
    </row>
    <row r="15" ht="24" customHeight="1">
      <c r="A15" s="61" t="inlineStr">
        <is>
          <t>جمع مستقیم / Direct Cost</t>
        </is>
      </c>
      <c r="B15" s="62">
        <f>SUM(B6:B14)</f>
        <v/>
      </c>
      <c r="C15" s="75" t="n"/>
      <c r="D15" s="75" t="n"/>
    </row>
    <row r="16" ht="24" customHeight="1">
      <c r="A16" s="61" t="inlineStr">
        <is>
          <t>ذخیره ریسک و پرت / Risk &amp; Waste Reserve</t>
        </is>
      </c>
      <c r="B16" s="62">
        <f>B15*C16</f>
        <v/>
      </c>
      <c r="C16" s="76" t="n">
        <v>0.1</v>
      </c>
      <c r="D16" s="77" t="inlineStr">
        <is>
          <t>ورودی / editable</t>
        </is>
      </c>
    </row>
    <row r="17" ht="24" customHeight="1">
      <c r="A17" s="61" t="inlineStr">
        <is>
          <t>مالیات بر ارزش افزوده / VAT (در صورت اعمال)</t>
        </is>
      </c>
      <c r="B17" s="62">
        <f>B15*C17</f>
        <v/>
      </c>
      <c r="C17" s="76" t="n">
        <v>0</v>
      </c>
      <c r="D17" s="77" t="inlineStr">
        <is>
          <t>پیش‌فرض 0%</t>
        </is>
      </c>
    </row>
    <row r="18" ht="30" customHeight="1">
      <c r="A18" s="58" t="inlineStr">
        <is>
          <t>برآورد کل / Estimated Total</t>
        </is>
      </c>
      <c r="B18" s="78">
        <f>B15+B16+B17</f>
        <v/>
      </c>
      <c r="C18" s="79">
        <f>B18/B15</f>
        <v/>
      </c>
      <c r="D18" s="80" t="inlineStr">
        <is>
          <t>کنترل / Control</t>
        </is>
      </c>
    </row>
    <row r="20">
      <c r="A20" s="10" t="inlineStr">
        <is>
          <t>شاخص‌های کلیدی  /  KEY INDICATORS</t>
        </is>
      </c>
      <c r="B20" s="11" t="n"/>
      <c r="C20" s="11" t="n"/>
      <c r="D20" s="11" t="n"/>
    </row>
    <row r="21" ht="24" customHeight="1">
      <c r="A21" s="33" t="inlineStr">
        <is>
          <t>هزینه بر مترمربع سایت / Cost per site m²</t>
        </is>
      </c>
      <c r="B21" s="81">
        <f>B18/495</f>
        <v/>
      </c>
      <c r="C21" s="31" t="inlineStr"/>
      <c r="D21" s="31" t="inlineStr"/>
    </row>
    <row r="22" ht="24" customHeight="1">
      <c r="A22" s="31" t="inlineStr">
        <is>
          <t>سهم محوطه سخت، تراس و آب / Paving, terrace &amp; water</t>
        </is>
      </c>
      <c r="B22" s="82">
        <f>(B7+B9)/B18</f>
        <v/>
      </c>
      <c r="C22" s="31" t="inlineStr"/>
      <c r="D22" s="31" t="inlineStr"/>
    </row>
    <row r="23" ht="24" customHeight="1">
      <c r="A23" s="33" t="inlineStr">
        <is>
          <t>سهم کاشت، چمن و باغ سبزی / Planting, lawn &amp; kitchen garden</t>
        </is>
      </c>
      <c r="B23" s="82">
        <f>(B11+B12)/B18</f>
        <v/>
      </c>
      <c r="C23" s="31" t="inlineStr"/>
      <c r="D23" s="31" t="inlineStr"/>
    </row>
    <row r="24" ht="24" customHeight="1">
      <c r="A24" s="31" t="inlineStr">
        <is>
          <t>سهم پاویون / Pavilion share</t>
        </is>
      </c>
      <c r="B24" s="82">
        <f>B8/B18</f>
        <v/>
      </c>
      <c r="C24" s="31" t="inlineStr"/>
      <c r="D24" s="31" t="inlineStr"/>
    </row>
    <row r="26" ht="34" customHeight="1">
      <c r="A26" s="30" t="inlineStr">
        <is>
          <t>کنترل برآورد:  برگه ۰۴ مبنا است و این برگه فقط جمع‌بندی می‌کند.  ستون «کنترل» مغایرت جمع گروه با ردیف‌های BOQ را هشدار می‌دهد و ستون «سهم» بر پایه برآورد کل محاسبه می‌شود.</t>
        </is>
      </c>
      <c r="B26" s="49" t="n"/>
      <c r="C26" s="49" t="n"/>
      <c r="D26" s="49" t="n"/>
    </row>
  </sheetData>
  <mergeCells count="7">
    <mergeCell ref="A3:H3"/>
    <mergeCell ref="A2:E2"/>
    <mergeCell ref="F1:H1"/>
    <mergeCell ref="A20:D20"/>
    <mergeCell ref="A26:D26"/>
    <mergeCell ref="A1:E1"/>
    <mergeCell ref="F2:H2"/>
  </mergeCells>
  <conditionalFormatting sqref="C6:C14">
    <cfRule type="dataBar" priority="1">
      <dataBar showValue="1">
        <cfvo type="num" val="0"/>
        <cfvo type="num" val="0.4"/>
        <color rgb="007C8B72"/>
      </dataBar>
    </cfRule>
  </conditionalFormatting>
  <printOptions horizontalCentered="1"/>
  <pageMargins left="0.35" right="0.35" top="0.45" bottom="0.45" header="0.2" footer="0.2"/>
  <pageSetup orientation="landscape" paperSize="9" fitToHeight="0" fitToWidth="1"/>
  <headerFooter>
    <oddHeader>&amp;L&amp;8 &amp;K59684FMAJID EISAPOUR   ·   Design &amp;&amp; Spatial Practice&amp;R&amp;8 &amp;K59684FBACKYARD LANDSCAPE · QAEMSHAHR   |   ME-LS-09   |   REV 02</oddHeader>
    <oddFooter>&amp;L&amp;8 &amp;K7C8B72Landscape Design &amp;&amp; Technical BOQ  —  دفترچه طراحی منظر و برآورد فنی&amp;R&amp;8 &amp;K7C8B72&amp;A   ·   &amp;P / &amp;N</oddFooter>
    <evenHeader/>
    <evenFooter/>
    <firstHeader/>
    <firstFooter/>
  </headerFooter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33413B"/>
    <outlinePr summaryBelow="1" summaryRight="1"/>
    <pageSetUpPr fitToPage="1"/>
  </sheetPr>
  <dimension ref="A1:F10"/>
  <sheetViews>
    <sheetView showGridLines="0" rightToLeft="1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62" customWidth="1" min="3" max="3"/>
    <col width="20" customWidth="1" min="4" max="4"/>
    <col width="16" customWidth="1" min="5" max="5"/>
    <col width="16" customWidth="1" min="6" max="6"/>
  </cols>
  <sheetData>
    <row r="1" ht="38" customHeight="1">
      <c r="A1" s="23" t="inlineStr">
        <is>
          <t>REVISION LOG &amp; DOCUMENT CONTROL</t>
        </is>
      </c>
      <c r="D1" s="24" t="inlineStr">
        <is>
          <t>ME-LS-10</t>
        </is>
      </c>
    </row>
    <row r="2" ht="22" customHeight="1">
      <c r="A2" s="25" t="inlineStr">
        <is>
          <t>تاریخچه نسخه‌ها و کنترل مدارک</t>
        </is>
      </c>
      <c r="D2" s="24" t="inlineStr">
        <is>
          <t>REV 02</t>
        </is>
      </c>
    </row>
    <row r="3" ht="19" customHeight="1">
      <c r="A3" s="26" t="inlineStr">
        <is>
          <t>Keep every issue traceable  |  کنترل نسخه و گردش مستندات</t>
        </is>
      </c>
    </row>
    <row r="4" ht="3.5" customHeight="1">
      <c r="A4" s="5" t="n"/>
      <c r="B4" s="5" t="n"/>
      <c r="C4" s="5" t="n"/>
      <c r="D4" s="5" t="n"/>
      <c r="E4" s="5" t="n"/>
      <c r="F4" s="5" t="n"/>
    </row>
    <row r="5" ht="28" customHeight="1">
      <c r="A5" s="27" t="inlineStr">
        <is>
          <t>نسخه / Rev.</t>
        </is>
      </c>
      <c r="B5" s="27" t="inlineStr">
        <is>
          <t>تاریخ / Date</t>
        </is>
      </c>
      <c r="C5" s="27" t="inlineStr">
        <is>
          <t>شرح تغییر / Description</t>
        </is>
      </c>
      <c r="D5" s="27" t="inlineStr">
        <is>
          <t>تهیه / Prepared</t>
        </is>
      </c>
      <c r="E5" s="27" t="inlineStr">
        <is>
          <t>بررسی / Checked</t>
        </is>
      </c>
      <c r="F5" s="27" t="inlineStr">
        <is>
          <t>تأیید / Approved</t>
        </is>
      </c>
    </row>
    <row r="6" ht="34" customHeight="1">
      <c r="A6" s="35" t="inlineStr">
        <is>
          <t>01</t>
        </is>
      </c>
      <c r="B6" s="37" t="inlineStr">
        <is>
          <t>1405 / 2026</t>
        </is>
      </c>
      <c r="C6" s="31" t="inlineStr">
        <is>
          <t>نسخه پایه BOQ و ساختار حرفه‌ای دو زبانه</t>
        </is>
      </c>
      <c r="D6" s="39" t="inlineStr">
        <is>
          <t>MAJID EISAPOUR</t>
        </is>
      </c>
      <c r="E6" s="37" t="inlineStr">
        <is>
          <t>—</t>
        </is>
      </c>
      <c r="F6" s="37" t="inlineStr">
        <is>
          <t>—</t>
        </is>
      </c>
    </row>
    <row r="7" ht="46" customHeight="1">
      <c r="A7" s="41" t="inlineStr">
        <is>
          <t>02</t>
        </is>
      </c>
      <c r="B7" s="43" t="inlineStr">
        <is>
          <t>1405/07 · Oct 2026</t>
        </is>
      </c>
      <c r="C7" s="33" t="inlineStr">
        <is>
          <t>بازطراحی گرافیکی و صفحه‌آرایی، اصلاح انسجام مقادیر بین برگه‌ها، افزودن ردیف‌های جمع بخش، شماره‌گذاری بخش‌ها (12 ← 11)، بازنویسی فرمول‌ها، اصلاح محدوده چاپ و تنظیمات پرینت</t>
        </is>
      </c>
      <c r="D7" s="45" t="inlineStr">
        <is>
          <t>MAJID EISAPOUR</t>
        </is>
      </c>
      <c r="E7" s="43" t="inlineStr">
        <is>
          <t>—</t>
        </is>
      </c>
      <c r="F7" s="43" t="inlineStr">
        <is>
          <t>—</t>
        </is>
      </c>
    </row>
    <row r="8" ht="34" customHeight="1">
      <c r="A8" s="35" t="inlineStr">
        <is>
          <t>03</t>
        </is>
      </c>
      <c r="B8" s="37" t="inlineStr">
        <is>
          <t>—</t>
        </is>
      </c>
      <c r="C8" s="31" t="inlineStr">
        <is>
          <t>—</t>
        </is>
      </c>
      <c r="D8" s="39" t="inlineStr">
        <is>
          <t>—</t>
        </is>
      </c>
      <c r="E8" s="37" t="inlineStr">
        <is>
          <t>—</t>
        </is>
      </c>
      <c r="F8" s="37" t="inlineStr">
        <is>
          <t>—</t>
        </is>
      </c>
    </row>
    <row r="10" ht="30" customHeight="1">
      <c r="A10" s="30" t="inlineStr">
        <is>
          <t>این دفترچه به‌صورت اسکریپت‌محور بازتولید می‌شود (tools/build_workbook.py)؛ هر اصلاح بعدی با نسخه جدید ثبت و قابل ردیابی است.</t>
        </is>
      </c>
      <c r="B10" s="49" t="n"/>
      <c r="C10" s="49" t="n"/>
      <c r="D10" s="49" t="n"/>
      <c r="E10" s="49" t="n"/>
      <c r="F10" s="49" t="n"/>
    </row>
  </sheetData>
  <mergeCells count="6">
    <mergeCell ref="D2:F2"/>
    <mergeCell ref="A10:F10"/>
    <mergeCell ref="A1:C1"/>
    <mergeCell ref="A3:F3"/>
    <mergeCell ref="D1:F1"/>
    <mergeCell ref="A2:C2"/>
  </mergeCells>
  <printOptions horizontalCentered="1"/>
  <pageMargins left="0.35" right="0.35" top="0.45" bottom="0.45" header="0.2" footer="0.2"/>
  <pageSetup orientation="landscape" paperSize="9" fitToHeight="0" fitToWidth="1"/>
  <headerFooter>
    <oddHeader>&amp;L&amp;8 &amp;K59684FMAJID EISAPOUR   ·   Design &amp;&amp; Spatial Practice&amp;R&amp;8 &amp;K59684FBACKYARD LANDSCAPE · QAEMSHAHR   |   ME-LS-10   |   REV 02</oddHeader>
    <oddFooter>&amp;L&amp;8 &amp;K7C8B72Landscape Design &amp;&amp; Technical BOQ  —  دفترچه طراحی منظر و برآورد فنی&amp;R&amp;8 &amp;K7C8B72&amp;A   ·  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MAJID EISAPOUR</dc:creator>
  <dc:title>MAJID EISAPOUR | Landscape Design &amp; Technical BOQ | Qaemshahr</dc:title>
  <dc:description>Prepared &amp; Designed by MAJID EISAPOUR — Design &amp; Spatial Practice. Rebuilt revision 02: graphic redesign, quantity reconciliation, formula and print fixes.</dc:description>
  <dc:subject>Bilingual premium landscape BOQ and project documentation — Rev 02</dc:subject>
  <dcterms:created xsi:type="dcterms:W3CDTF">2026-09-26T18:35:51Z</dcterms:created>
  <dcterms:modified xsi:type="dcterms:W3CDTF">2026-10-05T20:01:12Z</dcterms:modified>
  <cp:lastModifiedBy>MAJID EISAPOUR</cp:lastModifiedBy>
  <cp:category>Landscape Architecture — Technical Documentation</cp:category>
  <cp:keywords>landscape; BOQ; Qaemshahr; landscape architecture; برآورد; طراحی منظر</cp:keywords>
</cp:coreProperties>
</file>