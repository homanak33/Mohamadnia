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 | جلد و هویت" sheetId="1" state="visible" r:id="rId1"/>
    <sheet xmlns:r="http://schemas.openxmlformats.org/officeDocument/2006/relationships" name="01 | Project Info" sheetId="2" state="visible" r:id="rId2"/>
    <sheet xmlns:r="http://schemas.openxmlformats.org/officeDocument/2006/relationships" name="02 | Design Narrative" sheetId="3" state="visible" r:id="rId3"/>
    <sheet xmlns:r="http://schemas.openxmlformats.org/officeDocument/2006/relationships" name="03 | Design Basis" sheetId="4" state="visible" r:id="rId4"/>
    <sheet xmlns:r="http://schemas.openxmlformats.org/officeDocument/2006/relationships" name="04 | BOQ | برآورد" sheetId="5" state="visible" r:id="rId5"/>
    <sheet xmlns:r="http://schemas.openxmlformats.org/officeDocument/2006/relationships" name="05 | Material Schedule" sheetId="6" state="visible" r:id="rId6"/>
    <sheet xmlns:r="http://schemas.openxmlformats.org/officeDocument/2006/relationships" name="06 | Planting Schedule" sheetId="7" state="visible" r:id="rId7"/>
    <sheet xmlns:r="http://schemas.openxmlformats.org/officeDocument/2006/relationships" name="07 | Lighting &amp; Irrigation" sheetId="8" state="visible" r:id="rId8"/>
    <sheet xmlns:r="http://schemas.openxmlformats.org/officeDocument/2006/relationships" name="08 | Technical Notes" sheetId="9" state="visible" r:id="rId9"/>
    <sheet xmlns:r="http://schemas.openxmlformats.org/officeDocument/2006/relationships" name="09 | Cost Summary" sheetId="10" state="visible" r:id="rId10"/>
    <sheet xmlns:r="http://schemas.openxmlformats.org/officeDocument/2006/relationships" name="10 | Revision Log" sheetId="11" state="visible" r:id="rId11"/>
  </sheets>
  <definedNames>
    <definedName name="_xlnm.Print_Area" localSheetId="0">'00 | جلد و هویت'!$A$1:$H$16</definedName>
    <definedName name="_xlnm.Print_Area" localSheetId="1">'01 | Project Info'!$A$1:$H$14</definedName>
    <definedName name="_xlnm.Print_Area" localSheetId="2">'02 | Design Narrative'!$A$1:$H$10</definedName>
    <definedName name="_xlnm.Print_Area" localSheetId="3">'03 | Design Basis'!$A$1:$H$13</definedName>
    <definedName name="_xlnm._FilterDatabase" localSheetId="4" hidden="1">'04 | BOQ | برآورد'!$A$5:$H$28</definedName>
    <definedName name="_xlnm.Print_Area" localSheetId="4">'04 | BOQ | برآورد'!$A$1:$H$31</definedName>
    <definedName name="_xlnm.Print_Area" localSheetId="5">'05 | Material Schedule'!$A$1:$G$11</definedName>
    <definedName name="_xlnm.Print_Area" localSheetId="6">'06 | Planting Schedule'!$A$1:$G$12</definedName>
    <definedName name="_xlnm.Print_Area" localSheetId="7">'07 | Lighting &amp; Irrigation'!$A$1:$G$12</definedName>
    <definedName name="_xlnm.Print_Area" localSheetId="8">'08 | Technical Notes'!$A$1:$F$14</definedName>
    <definedName name="_xlnm.Print_Area" localSheetId="9">'09 | Cost Summary'!$A$1:$L$18</definedName>
    <definedName name="_xlnm.Print_Area" localSheetId="10">'10 | Revision Log'!$A$1:$F$9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2">
    <font>
      <name val="Calibri"/>
      <family val="2"/>
      <color theme="1"/>
      <sz val="11"/>
      <scheme val="minor"/>
    </font>
    <font>
      <name val="Aptos Display"/>
      <b val="1"/>
      <color rgb="00253238"/>
      <sz val="32"/>
    </font>
    <font>
      <name val="Tahoma"/>
      <b val="1"/>
      <color rgb="00A66A4B"/>
      <sz val="15"/>
    </font>
    <font>
      <name val="Aptos Display"/>
      <b val="1"/>
      <color rgb="00253238"/>
      <sz val="25"/>
    </font>
    <font>
      <name val="Tahoma"/>
      <b val="1"/>
      <color rgb="0071806A"/>
      <sz val="16"/>
    </font>
    <font>
      <name val="Tahoma"/>
      <i val="1"/>
      <color rgb="00253238"/>
      <sz val="13"/>
    </font>
    <font>
      <name val="Tahoma"/>
      <b val="1"/>
      <color rgb="00253238"/>
      <sz val="12"/>
    </font>
    <font>
      <name val="Aptos Display"/>
      <b val="1"/>
      <color rgb="00253238"/>
      <sz val="24"/>
    </font>
    <font>
      <name val="Tahoma"/>
      <b val="1"/>
      <color rgb="00A66A4B"/>
      <sz val="14"/>
    </font>
    <font>
      <name val="Aptos"/>
      <i val="1"/>
      <color rgb="0071806A"/>
      <sz val="10"/>
    </font>
    <font>
      <name val="Tahoma"/>
      <b val="1"/>
      <color rgb="00FFFFFF"/>
      <sz val="10"/>
    </font>
    <font>
      <name val="Tahoma"/>
      <b val="1"/>
      <color rgb="00253238"/>
      <sz val="9"/>
    </font>
    <font>
      <name val="Tahoma"/>
      <color rgb="00253238"/>
      <sz val="9"/>
    </font>
    <font>
      <name val="Tahoma"/>
      <color rgb="00253238"/>
      <sz val="11"/>
    </font>
    <font>
      <name val="Aptos"/>
      <b val="1"/>
      <color rgb="00253238"/>
      <sz val="10"/>
    </font>
    <font>
      <name val="Tahoma"/>
      <b val="1"/>
      <color rgb="00253238"/>
      <sz val="10"/>
    </font>
    <font>
      <name val="Tahoma"/>
      <color rgb="00253238"/>
      <sz val="10"/>
    </font>
    <font>
      <name val="Aptos"/>
      <color rgb="00253238"/>
      <sz val="10"/>
    </font>
    <font>
      <name val="Tahoma"/>
      <b val="1"/>
      <color rgb="00FFFFFF"/>
    </font>
    <font>
      <b val="1"/>
      <color rgb="00FFFFFF"/>
    </font>
    <font>
      <name val="Tahoma"/>
      <b val="1"/>
      <color rgb="00253238"/>
      <sz val="11"/>
    </font>
    <font>
      <name val="Tahoma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EAE5DA"/>
      </patternFill>
    </fill>
    <fill>
      <patternFill patternType="solid">
        <fgColor rgb="00F5F1E8"/>
      </patternFill>
    </fill>
    <fill>
      <patternFill patternType="solid">
        <fgColor rgb="00253238"/>
      </patternFill>
    </fill>
    <fill>
      <patternFill patternType="solid">
        <fgColor rgb="00FFFFFF"/>
      </patternFill>
    </fill>
  </fills>
  <borders count="6">
    <border>
      <left/>
      <right/>
      <top/>
      <bottom/>
      <diagonal/>
    </border>
    <border>
      <left style="thin">
        <color rgb="00CFC8BB"/>
      </left>
      <right style="thin">
        <color rgb="00CFC8BB"/>
      </right>
      <top style="thin">
        <color rgb="00CFC8BB"/>
      </top>
      <bottom style="thin">
        <color rgb="00CFC8BB"/>
      </bottom>
    </border>
    <border>
      <left/>
      <right/>
      <top style="thin">
        <color rgb="00CFC8BB"/>
      </top>
      <bottom/>
      <diagonal/>
    </border>
    <border>
      <left/>
      <right style="thin">
        <color rgb="00CFC8BB"/>
      </right>
      <top style="thin">
        <color rgb="00CFC8BB"/>
      </top>
      <bottom/>
      <diagonal/>
    </border>
    <border>
      <left/>
      <right/>
      <top style="thin">
        <color rgb="00CFC8BB"/>
      </top>
      <bottom style="thin">
        <color rgb="00CFC8BB"/>
      </bottom>
      <diagonal/>
    </border>
    <border>
      <left/>
      <right style="thin">
        <color rgb="00CFC8BB"/>
      </right>
      <top style="thin">
        <color rgb="00CFC8BB"/>
      </top>
      <bottom style="thin">
        <color rgb="00CFC8BB"/>
      </bottom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 wrapText="1"/>
    </xf>
    <xf numFmtId="0" fontId="5" fillId="0" borderId="0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7" fillId="3" borderId="0" applyAlignment="1" pivotButton="0" quotePrefix="0" xfId="0">
      <alignment vertical="center"/>
    </xf>
    <xf numFmtId="0" fontId="0" fillId="3" borderId="0" pivotButton="0" quotePrefix="0" xfId="0"/>
    <xf numFmtId="0" fontId="8" fillId="3" borderId="0" applyAlignment="1" pivotButton="0" quotePrefix="0" xfId="0">
      <alignment vertical="center"/>
    </xf>
    <xf numFmtId="0" fontId="9" fillId="3" borderId="0" applyAlignment="1" pivotButton="0" quotePrefix="0" xfId="0">
      <alignment vertical="center"/>
    </xf>
    <xf numFmtId="0" fontId="10" fillId="4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vertical="center" wrapText="1"/>
    </xf>
    <xf numFmtId="0" fontId="12" fillId="5" borderId="1" applyAlignment="1" pivotButton="0" quotePrefix="0" xfId="0">
      <alignment vertical="center" wrapText="1"/>
    </xf>
    <xf numFmtId="0" fontId="13" fillId="3" borderId="0" applyAlignment="1" pivotButton="0" quotePrefix="0" xfId="0">
      <alignment vertical="center" wrapText="1"/>
    </xf>
    <xf numFmtId="0" fontId="14" fillId="3" borderId="1" applyAlignment="1" pivotButton="0" quotePrefix="0" xfId="0">
      <alignment vertical="center" wrapText="1"/>
    </xf>
    <xf numFmtId="0" fontId="15" fillId="3" borderId="1" applyAlignment="1" pivotButton="0" quotePrefix="0" xfId="0">
      <alignment vertical="center" wrapText="1"/>
    </xf>
    <xf numFmtId="0" fontId="16" fillId="3" borderId="1" applyAlignment="1" pivotButton="0" quotePrefix="0" xfId="0">
      <alignment vertical="center" wrapText="1"/>
    </xf>
    <xf numFmtId="0" fontId="0" fillId="0" borderId="4" pivotButton="0" quotePrefix="0" xfId="0"/>
    <xf numFmtId="0" fontId="0" fillId="0" borderId="5" pivotButton="0" quotePrefix="0" xfId="0"/>
    <xf numFmtId="0" fontId="14" fillId="5" borderId="1" applyAlignment="1" pivotButton="0" quotePrefix="0" xfId="0">
      <alignment vertical="center" wrapText="1"/>
    </xf>
    <xf numFmtId="0" fontId="15" fillId="5" borderId="1" applyAlignment="1" pivotButton="0" quotePrefix="0" xfId="0">
      <alignment vertical="center" wrapText="1"/>
    </xf>
    <xf numFmtId="0" fontId="16" fillId="5" borderId="1" applyAlignment="1" pivotButton="0" quotePrefix="0" xfId="0">
      <alignment vertical="center" wrapText="1"/>
    </xf>
    <xf numFmtId="0" fontId="12" fillId="3" borderId="1" applyAlignment="1" pivotButton="0" quotePrefix="0" xfId="0">
      <alignment vertical="center" wrapText="1"/>
    </xf>
    <xf numFmtId="3" fontId="12" fillId="3" borderId="1" applyAlignment="1" pivotButton="0" quotePrefix="0" xfId="0">
      <alignment vertical="center" wrapText="1"/>
    </xf>
    <xf numFmtId="3" fontId="12" fillId="5" borderId="1" applyAlignment="1" pivotButton="0" quotePrefix="0" xfId="0">
      <alignment vertical="center" wrapText="1"/>
    </xf>
    <xf numFmtId="0" fontId="18" fillId="4" borderId="0" pivotButton="0" quotePrefix="0" xfId="0"/>
    <xf numFmtId="3" fontId="19" fillId="4" borderId="0" pivotButton="0" quotePrefix="0" xfId="0"/>
    <xf numFmtId="3" fontId="0" fillId="0" borderId="0" pivotButton="0" quotePrefix="0" xfId="0"/>
    <xf numFmtId="3" fontId="16" fillId="3" borderId="1" applyAlignment="1" pivotButton="0" quotePrefix="0" xfId="0">
      <alignment vertical="center" wrapText="1"/>
    </xf>
    <xf numFmtId="164" fontId="16" fillId="3" borderId="1" applyAlignment="1" pivotButton="0" quotePrefix="0" xfId="0">
      <alignment vertical="center" wrapText="1"/>
    </xf>
    <xf numFmtId="3" fontId="16" fillId="5" borderId="1" applyAlignment="1" pivotButton="0" quotePrefix="0" xfId="0">
      <alignment vertical="center" wrapText="1"/>
    </xf>
    <xf numFmtId="164" fontId="16" fillId="5" borderId="1" applyAlignment="1" pivotButton="0" quotePrefix="0" xfId="0">
      <alignment vertical="center" wrapText="1"/>
    </xf>
    <xf numFmtId="0" fontId="20" fillId="2" borderId="1" pivotButton="0" quotePrefix="0" xfId="0"/>
    <xf numFmtId="3" fontId="20" fillId="2" borderId="1" pivotButton="0" quotePrefix="0" xfId="0"/>
    <xf numFmtId="0" fontId="21" fillId="4" borderId="1" pivotButton="0" quotePrefix="0" xfId="0"/>
    <xf numFmtId="3" fontId="21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Section Cost / سهم هزینه بخش‌ها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'09 | Cost Summary'!B5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'09 | Cost Summary'!$A$6:$A$14</f>
            </numRef>
          </cat>
          <val>
            <numRef>
              <f>'09 | Cost Summary'!$B$6:$B$14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Toman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Section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16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4" customHeight="1">
      <c r="A1" s="1" t="inlineStr">
        <is>
          <t>MAJID EISAPOUR</t>
        </is>
      </c>
    </row>
    <row r="2" ht="24" customHeight="1"/>
    <row r="3" ht="24" customHeight="1">
      <c r="A3" s="2" t="inlineStr">
        <is>
          <t>Design &amp; Spatial Practice  |  استودیو طراحی و فضا</t>
        </is>
      </c>
    </row>
    <row r="4" ht="24" customHeight="1"/>
    <row r="5" ht="24" customHeight="1">
      <c r="A5" s="3" t="inlineStr">
        <is>
          <t>LANDSCAPE DESIGN &amp; TECHNICAL BOQ</t>
        </is>
      </c>
    </row>
    <row r="6" ht="24" customHeight="1"/>
    <row r="7" ht="24" customHeight="1"/>
    <row r="8" ht="24" customHeight="1">
      <c r="A8" s="4" t="inlineStr">
        <is>
          <t>طراحی منظر و برآورد فنی | حیاط پشتی ویلای مسکونی | قائم‌شهر، مازندران</t>
        </is>
      </c>
    </row>
    <row r="9" ht="24" customHeight="1"/>
    <row r="10" ht="24" customHeight="1"/>
    <row r="11" ht="24" customHeight="1">
      <c r="A11" s="5" t="inlineStr">
        <is>
          <t>«فضا فقط ساخته نمی‌شود؛ طراحی می‌شود، تجربه می‌شود و به بخشی از زندگی تبدیل می‌شود.»
“Space is not merely built; it is designed, experienced, and made part of everyday life.”</t>
        </is>
      </c>
    </row>
    <row r="12" ht="24" customHeight="1"/>
    <row r="13" ht="24" customHeight="1"/>
    <row r="14" ht="24" customHeight="1"/>
    <row r="15" ht="24" customHeight="1">
      <c r="A15" s="6" t="inlineStr">
        <is>
          <t>Project / پروژه
Backyard Landscape — Qaemshahr</t>
        </is>
      </c>
      <c r="E15" s="6" t="inlineStr">
        <is>
          <t>Prepared &amp; Designed by / تهیه و طراحی
MAJID EISAPOUR</t>
        </is>
      </c>
    </row>
    <row r="16" ht="24" customHeight="1"/>
    <row r="17" ht="24" customHeight="1"/>
    <row r="18" ht="24" customHeight="1"/>
    <row r="19" ht="24" customHeight="1"/>
  </sheetData>
  <mergeCells count="7">
    <mergeCell ref="A3:H3"/>
    <mergeCell ref="A11:H13"/>
    <mergeCell ref="A5:H7"/>
    <mergeCell ref="A15:D16"/>
    <mergeCell ref="E15:H16"/>
    <mergeCell ref="A1:H2"/>
    <mergeCell ref="A8:H9"/>
  </mergeCells>
  <printOptions horizontalCentered="1"/>
  <pageMargins left="0.35" right="0.35" top="0.45" bottom="0.45" header="0.2" footer="0.25"/>
  <pageSetup orientation="portrait" paperSize="9" fitToHeight="0" fitToWidth="1"/>
  <headerFooter>
    <oddHeader>&amp;C&amp;"Aptos,Bold"&amp;9 MAJID EISAPOUR  |  Design &amp; Spatial Practice</oddHeader>
    <oddFooter>&amp;LMAJID EISAPOUR  |  1405 / 2026&amp;CLandscape Design &amp; Technical BOQ | طراحی منظر و برآورد فنی&amp;RPage 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4" customHeight="1">
      <c r="A1" s="7" t="inlineStr">
        <is>
          <t>PROJECT INFORMATION</t>
        </is>
      </c>
      <c r="B1" s="8" t="n"/>
      <c r="C1" s="8" t="n"/>
      <c r="D1" s="8" t="n"/>
      <c r="E1" s="8" t="n"/>
      <c r="F1" s="8" t="n"/>
      <c r="G1" s="8" t="n"/>
      <c r="H1" s="8" t="n"/>
    </row>
    <row r="2" ht="25" customHeight="1">
      <c r="A2" s="9" t="inlineStr">
        <is>
          <t>مشخصات پروژه</t>
        </is>
      </c>
      <c r="B2" s="8" t="n"/>
      <c r="C2" s="8" t="n"/>
      <c r="D2" s="8" t="n"/>
      <c r="E2" s="8" t="n"/>
      <c r="F2" s="8" t="n"/>
      <c r="G2" s="8" t="n"/>
      <c r="H2" s="8" t="n"/>
    </row>
    <row r="3" ht="20" customHeight="1">
      <c r="A3" s="10" t="inlineStr">
        <is>
          <t>A concise bilingual project identity sheet | شناسنامه پروژه</t>
        </is>
      </c>
      <c r="B3" s="8" t="n"/>
      <c r="C3" s="8" t="n"/>
      <c r="D3" s="8" t="n"/>
      <c r="E3" s="8" t="n"/>
      <c r="F3" s="8" t="n"/>
      <c r="G3" s="8" t="n"/>
      <c r="H3" s="8" t="n"/>
    </row>
    <row r="5" ht="32" customHeight="1">
      <c r="A5" s="11" t="inlineStr">
        <is>
          <t>عنوان / Title</t>
        </is>
      </c>
      <c r="B5" s="11" t="inlineStr">
        <is>
          <t>مقدار / Value</t>
        </is>
      </c>
      <c r="C5" s="11" t="inlineStr">
        <is>
          <t>عنوان / Title</t>
        </is>
      </c>
      <c r="D5" s="11" t="inlineStr">
        <is>
          <t>مقدار / Value</t>
        </is>
      </c>
      <c r="E5" s="11" t="inlineStr">
        <is>
          <t>عنوان / Title</t>
        </is>
      </c>
      <c r="F5" s="11" t="inlineStr">
        <is>
          <t>مقدار / Value</t>
        </is>
      </c>
      <c r="G5" s="11" t="inlineStr">
        <is>
          <t>عنوان / Title</t>
        </is>
      </c>
      <c r="H5" s="11" t="inlineStr">
        <is>
          <t>مقدار / Value</t>
        </is>
      </c>
    </row>
    <row r="6" ht="42" customHeight="1">
      <c r="A6" s="12" t="inlineStr">
        <is>
          <t>کارفرما / Client</t>
        </is>
      </c>
      <c r="B6" s="13" t="inlineStr">
        <is>
          <t>—</t>
        </is>
      </c>
      <c r="C6" s="12" t="inlineStr">
        <is>
          <t>مکان / Location</t>
        </is>
      </c>
      <c r="D6" s="13" t="inlineStr">
        <is>
          <t>قائم‌شهر، مازندران / Qaemshahr, Mazandaran</t>
        </is>
      </c>
      <c r="E6" s="12" t="inlineStr">
        <is>
          <t>مساحت سایت / Site Area</t>
        </is>
      </c>
      <c r="F6" s="13" t="inlineStr">
        <is>
          <t>≈ 495 m²</t>
        </is>
      </c>
      <c r="G6" s="12" t="inlineStr">
        <is>
          <t>تاریخ / Date</t>
        </is>
      </c>
      <c r="H6" s="13" t="inlineStr">
        <is>
          <t>1405 / 2026</t>
        </is>
      </c>
    </row>
    <row r="7" ht="42" customHeight="1">
      <c r="A7" s="12" t="inlineStr">
        <is>
          <t>نوع پروژه / Project Type</t>
        </is>
      </c>
      <c r="B7" s="13" t="inlineStr">
        <is>
          <t>طراحی منظر حیاط ویلایی / Residential Backyard Landscape</t>
        </is>
      </c>
      <c r="C7" s="12" t="inlineStr">
        <is>
          <t>زبان طراحی / Design Language</t>
        </is>
      </c>
      <c r="D7" s="13" t="inlineStr">
        <is>
          <t>Contemporary • Natural • Architectural</t>
        </is>
      </c>
      <c r="E7" s="12" t="inlineStr">
        <is>
          <t>مقیاس مبنا / Working Scale</t>
        </is>
      </c>
      <c r="F7" s="13" t="inlineStr">
        <is>
          <t>1:100 Concept</t>
        </is>
      </c>
      <c r="G7" s="12" t="inlineStr">
        <is>
          <t>نسخه / Revision</t>
        </is>
      </c>
      <c r="H7" s="13" t="inlineStr">
        <is>
          <t>01</t>
        </is>
      </c>
    </row>
    <row r="8" ht="42" customHeight="1">
      <c r="A8" s="12" t="inlineStr">
        <is>
          <t>رویکرد / Approach</t>
        </is>
      </c>
      <c r="B8" s="13" t="inlineStr">
        <is>
          <t>Outdoor Room / اتاقِ بیرونی</t>
        </is>
      </c>
      <c r="C8" s="12" t="inlineStr">
        <is>
          <t>برنامه / Program</t>
        </is>
      </c>
      <c r="D8" s="13" t="inlineStr">
        <is>
          <t>Kitchen Garden + Social Space + Pavilion</t>
        </is>
      </c>
      <c r="E8" s="12" t="inlineStr">
        <is>
          <t>سطح خدمات / Deliverable</t>
        </is>
      </c>
      <c r="F8" s="13" t="inlineStr">
        <is>
          <t>Concept + BOQ + Technical Notes</t>
        </is>
      </c>
      <c r="G8" s="12" t="inlineStr">
        <is>
          <t>تهیه‌کننده / Prepared by</t>
        </is>
      </c>
      <c r="H8" s="13" t="inlineStr">
        <is>
          <t>MAJID EISAPOUR</t>
        </is>
      </c>
    </row>
    <row r="11">
      <c r="A11" s="14" t="inlineStr">
        <is>
          <t>Design Identity / هویت طراحی
A calm, contemporary garden organized as an outdoor room: productive planting to the north, a generous green heart at the center, and an architectural social space toward the south-west. The service edge remains intact and is treated as an existing condition rather than a redesign scope.
باغی معاصر و آرام که همچون یک اتاقِ بیرونی سازمان‌دهی شده است: باغ سبزیِ کاربردی در شمال، قلب سبز و باز در مرکز، و فضای اجتماعیِ معماری‌شده در جنوب‌غرب. لبه خدماتی موجود دست‌نخورده باقی می‌ماند و صرفاً به‌عنوان یک وضعیت موجود در نظر گرفته شده است.</t>
        </is>
      </c>
    </row>
    <row r="12"/>
    <row r="13"/>
    <row r="14"/>
  </sheetData>
  <mergeCells count="4">
    <mergeCell ref="A3:H3"/>
    <mergeCell ref="A2:H2"/>
    <mergeCell ref="A11:H14"/>
    <mergeCell ref="A1:H1"/>
  </mergeCells>
  <printOptions horizontalCentered="1"/>
  <pageMargins left="0.35" right="0.35" top="0.45" bottom="0.45" header="0.2" footer="0.25"/>
  <pageSetup orientation="landscape" paperSize="9" fitToHeight="0" fitToWidth="1"/>
  <headerFooter>
    <oddHeader>&amp;C&amp;"Aptos,Bold"&amp;9 MAJID EISAPOUR  |  Design &amp; Spatial Practice</oddHeader>
    <oddFooter>&amp;LMAJID EISAPOUR  |  1405 / 2026&amp;CLandscape Design &amp; Technical BOQ | طراحی منظر و برآورد فنی&amp;RPage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30" customWidth="1" min="3" max="3"/>
    <col width="24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 ht="34" customHeight="1">
      <c r="A1" s="7" t="inlineStr">
        <is>
          <t>DESIGN NARRATIVE</t>
        </is>
      </c>
      <c r="B1" s="8" t="n"/>
      <c r="C1" s="8" t="n"/>
      <c r="D1" s="8" t="n"/>
      <c r="E1" s="8" t="n"/>
      <c r="F1" s="8" t="n"/>
      <c r="G1" s="8" t="n"/>
      <c r="H1" s="8" t="n"/>
    </row>
    <row r="2" ht="25" customHeight="1">
      <c r="A2" s="9" t="inlineStr">
        <is>
          <t>روایت و ایده طراحی</t>
        </is>
      </c>
      <c r="B2" s="8" t="n"/>
      <c r="C2" s="8" t="n"/>
      <c r="D2" s="8" t="n"/>
      <c r="E2" s="8" t="n"/>
      <c r="F2" s="8" t="n"/>
      <c r="G2" s="8" t="n"/>
      <c r="H2" s="8" t="n"/>
    </row>
    <row r="3" ht="20" customHeight="1">
      <c r="A3" s="10" t="inlineStr">
        <is>
          <t>Concept, atmosphere, spatial sequence | روایت، اتمسفر و توالی فضایی</t>
        </is>
      </c>
      <c r="B3" s="8" t="n"/>
      <c r="C3" s="8" t="n"/>
      <c r="D3" s="8" t="n"/>
      <c r="E3" s="8" t="n"/>
      <c r="F3" s="8" t="n"/>
      <c r="G3" s="8" t="n"/>
      <c r="H3" s="8" t="n"/>
    </row>
    <row r="5" ht="32" customHeight="1">
      <c r="A5" s="11" t="inlineStr">
        <is>
          <t>ID</t>
        </is>
      </c>
      <c r="B5" s="11" t="inlineStr">
        <is>
          <t>موضوع / Topic</t>
        </is>
      </c>
      <c r="C5" s="11" t="inlineStr">
        <is>
          <t>عنوان / Title</t>
        </is>
      </c>
      <c r="D5" s="11" t="inlineStr">
        <is>
          <t>متن حرفه‌ای / Professional Narrative</t>
        </is>
      </c>
      <c r="E5" s="11" t="inlineStr"/>
      <c r="F5" s="11" t="inlineStr"/>
      <c r="G5" s="11" t="inlineStr"/>
      <c r="H5" s="11" t="inlineStr"/>
    </row>
    <row r="6" ht="75" customHeight="1">
      <c r="A6" s="15" t="inlineStr">
        <is>
          <t>01</t>
        </is>
      </c>
      <c r="B6" s="16" t="inlineStr">
        <is>
          <t>ایده مرکزی / Core Idea</t>
        </is>
      </c>
      <c r="C6" s="15" t="inlineStr">
        <is>
          <t>OUTDOOR ROOM — اتاقِ بیرونی</t>
        </is>
      </c>
      <c r="D6" s="17" t="inlineStr">
        <is>
          <t>The garden is conceived as an extension of domestic life, not as a collection of isolated objects.
باغ به‌عنوان امتداد زندگی روزمره طراحی شده است، نه مجموعه‌ای از عناصر جدا از هم.</t>
        </is>
      </c>
      <c r="E6" s="18" t="n"/>
      <c r="F6" s="18" t="n"/>
      <c r="G6" s="18" t="n"/>
      <c r="H6" s="19" t="n"/>
    </row>
    <row r="7" ht="75" customHeight="1">
      <c r="A7" s="20" t="inlineStr">
        <is>
          <t>02</t>
        </is>
      </c>
      <c r="B7" s="21" t="inlineStr">
        <is>
          <t>توالی ورود / Arrival Sequence</t>
        </is>
      </c>
      <c r="C7" s="20" t="inlineStr">
        <is>
          <t>FROM PARKING TO GARDEN — از مسیر به باغ</t>
        </is>
      </c>
      <c r="D7" s="22" t="inlineStr">
        <is>
          <t>The entrance begins directly from the parking corridor; the path becomes a spatial threshold through texture, planting and controlled views.
ورودی مستقیماً از مسیر پارکینگ آغاز می‌شود و با تغییر بافت، کاشت و کنترل دید به یک آستانه فضایی تبدیل می‌شود.</t>
        </is>
      </c>
      <c r="E7" s="18" t="n"/>
      <c r="F7" s="18" t="n"/>
      <c r="G7" s="18" t="n"/>
      <c r="H7" s="19" t="n"/>
    </row>
    <row r="8" ht="75" customHeight="1">
      <c r="A8" s="15" t="inlineStr">
        <is>
          <t>03</t>
        </is>
      </c>
      <c r="B8" s="16" t="inlineStr">
        <is>
          <t>قلب سبز / Green Heart</t>
        </is>
      </c>
      <c r="C8" s="15" t="inlineStr">
        <is>
          <t>OPEN LAWN — میدان سبز</t>
        </is>
      </c>
      <c r="D8" s="17" t="inlineStr">
        <is>
          <t>A quiet central clearing balances the hardscape and gives the garden visual breathing room.
فضای سبز مرکزی، تعادل میان کف‌سازی و کاشت را برقرار کرده و به باغ فرصت تنفس بصری می‌دهد.</t>
        </is>
      </c>
      <c r="E8" s="18" t="n"/>
      <c r="F8" s="18" t="n"/>
      <c r="G8" s="18" t="n"/>
      <c r="H8" s="19" t="n"/>
    </row>
    <row r="9" ht="75" customHeight="1">
      <c r="A9" s="20" t="inlineStr">
        <is>
          <t>04</t>
        </is>
      </c>
      <c r="B9" s="21" t="inlineStr">
        <is>
          <t>فضای زندگی / Living Space</t>
        </is>
      </c>
      <c r="C9" s="20" t="inlineStr">
        <is>
          <t>PAVILION + TERRACE — پاویون و تراس</t>
        </is>
      </c>
      <c r="D9" s="22" t="inlineStr">
        <is>
          <t>A compact architectural pavilion and open terrace form one continuous social composition.
پاویون و تراس باز به‌عنوان یک ترکیب پیوسته برای نشستن، گفت‌وگو و مکث شکل می‌گیرند.</t>
        </is>
      </c>
      <c r="E9" s="18" t="n"/>
      <c r="F9" s="18" t="n"/>
      <c r="G9" s="18" t="n"/>
      <c r="H9" s="19" t="n"/>
    </row>
    <row r="10" ht="75" customHeight="1">
      <c r="A10" s="15" t="inlineStr">
        <is>
          <t>05</t>
        </is>
      </c>
      <c r="B10" s="16" t="inlineStr">
        <is>
          <t>آب معماری / Architectural Water</t>
        </is>
      </c>
      <c r="C10" s="15" t="inlineStr">
        <is>
          <t>LINEAR WATER — آبنمای خطی</t>
        </is>
      </c>
      <c r="D10" s="17" t="inlineStr">
        <is>
          <t>A narrow linear water element accompanies circulation as a reflective architectural line rather than a standalone fountain.
آب به‌صورت یک خط باریک و بازتابنده در کنار مسیر حرکت قرار می‌گیرد، نه به‌عنوان آبنمایی مستقل و جداافتاده.</t>
        </is>
      </c>
      <c r="E10" s="18" t="n"/>
      <c r="F10" s="18" t="n"/>
      <c r="G10" s="18" t="n"/>
      <c r="H10" s="19" t="n"/>
    </row>
  </sheetData>
  <mergeCells count="8">
    <mergeCell ref="D7:H7"/>
    <mergeCell ref="A3:H3"/>
    <mergeCell ref="D6:H6"/>
    <mergeCell ref="D8:H8"/>
    <mergeCell ref="D10:H10"/>
    <mergeCell ref="A2:H2"/>
    <mergeCell ref="A1:H1"/>
    <mergeCell ref="D9:H9"/>
  </mergeCells>
  <printOptions horizontalCentered="1"/>
  <pageMargins left="0.35" right="0.35" top="0.45" bottom="0.45" header="0.2" footer="0.25"/>
  <pageSetup orientation="landscape" paperSize="9" fitToHeight="0" fitToWidth="1"/>
  <headerFooter>
    <oddHeader>&amp;C&amp;"Aptos,Bold"&amp;9 MAJID EISAPOUR  |  Design &amp; Spatial Practice</oddHeader>
    <oddFooter>&amp;LMAJID EISAPOUR  |  1405 / 2026&amp;CLandscape Design &amp; Technical BOQ | طراحی منظر و برآورد فنی&amp;RPage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2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4" customWidth="1" min="3" max="3"/>
    <col width="18" customWidth="1" min="4" max="4"/>
    <col width="12" customWidth="1" min="5" max="5"/>
    <col width="12" customWidth="1" min="6" max="6"/>
    <col width="20" customWidth="1" min="7" max="7"/>
    <col width="35" customWidth="1" min="8" max="8"/>
  </cols>
  <sheetData>
    <row r="1" ht="34" customHeight="1">
      <c r="A1" s="7" t="inlineStr">
        <is>
          <t>DESIGN BASIS &amp; SCOPE</t>
        </is>
      </c>
      <c r="B1" s="8" t="n"/>
      <c r="C1" s="8" t="n"/>
      <c r="D1" s="8" t="n"/>
      <c r="E1" s="8" t="n"/>
      <c r="F1" s="8" t="n"/>
      <c r="G1" s="8" t="n"/>
      <c r="H1" s="8" t="n"/>
    </row>
    <row r="2" ht="25" customHeight="1">
      <c r="A2" s="9" t="inlineStr">
        <is>
          <t>مبنای طراحی و دامنه کار</t>
        </is>
      </c>
      <c r="B2" s="8" t="n"/>
      <c r="C2" s="8" t="n"/>
      <c r="D2" s="8" t="n"/>
      <c r="E2" s="8" t="n"/>
      <c r="F2" s="8" t="n"/>
      <c r="G2" s="8" t="n"/>
      <c r="H2" s="8" t="n"/>
    </row>
    <row r="3" ht="20" customHeight="1">
      <c r="A3" s="10" t="inlineStr">
        <is>
          <t>What is included, what remains existing, and the assumptions behind the BOQ | مبنای محاسبات</t>
        </is>
      </c>
      <c r="B3" s="8" t="n"/>
      <c r="C3" s="8" t="n"/>
      <c r="D3" s="8" t="n"/>
      <c r="E3" s="8" t="n"/>
      <c r="F3" s="8" t="n"/>
      <c r="G3" s="8" t="n"/>
      <c r="H3" s="8" t="n"/>
    </row>
    <row r="5" ht="32" customHeight="1">
      <c r="A5" s="11" t="inlineStr">
        <is>
          <t>کد / Code</t>
        </is>
      </c>
      <c r="B5" s="11" t="inlineStr">
        <is>
          <t>موضوع / Topic</t>
        </is>
      </c>
      <c r="C5" s="11" t="inlineStr">
        <is>
          <t>مبنای طراحی / Basis</t>
        </is>
      </c>
      <c r="D5" s="11" t="inlineStr">
        <is>
          <t>وضعیت / Status</t>
        </is>
      </c>
      <c r="E5" s="11" t="inlineStr">
        <is>
          <t>واحد / Unit</t>
        </is>
      </c>
      <c r="F5" s="11" t="inlineStr">
        <is>
          <t>مقدار / Qty</t>
        </is>
      </c>
      <c r="G5" s="11" t="inlineStr">
        <is>
          <t>یادداشت / Note</t>
        </is>
      </c>
      <c r="H5" s="11" t="inlineStr">
        <is>
          <t>توضیح / Description</t>
        </is>
      </c>
    </row>
    <row r="6" ht="38" customHeight="1">
      <c r="A6" s="23" t="inlineStr">
        <is>
          <t>B-01</t>
        </is>
      </c>
      <c r="B6" s="23" t="inlineStr">
        <is>
          <t>مساحت سایت / Site Area</t>
        </is>
      </c>
      <c r="C6" s="23" t="inlineStr">
        <is>
          <t>20.2 × 24.5 ≈ 495</t>
        </is>
      </c>
      <c r="D6" s="23" t="inlineStr">
        <is>
          <t>مبنای محاسبه</t>
        </is>
      </c>
      <c r="E6" s="23" t="inlineStr">
        <is>
          <t>m²</t>
        </is>
      </c>
      <c r="F6" s="23" t="inlineStr">
        <is>
          <t>495</t>
        </is>
      </c>
      <c r="G6" s="23" t="inlineStr">
        <is>
          <t>Conceptual</t>
        </is>
      </c>
      <c r="H6" s="23" t="inlineStr">
        <is>
          <t>Backyard only / فقط حیاط پشتی</t>
        </is>
      </c>
    </row>
    <row r="7" ht="38" customHeight="1">
      <c r="A7" s="13" t="inlineStr">
        <is>
          <t>B-02</t>
        </is>
      </c>
      <c r="B7" s="13" t="inlineStr">
        <is>
          <t>پاویون / Pavilion</t>
        </is>
      </c>
      <c r="C7" s="13" t="inlineStr">
        <is>
          <t>5.40 × 4.80</t>
        </is>
      </c>
      <c r="D7" s="13" t="inlineStr">
        <is>
          <t>طراحی</t>
        </is>
      </c>
      <c r="E7" s="13" t="inlineStr">
        <is>
          <t>m²</t>
        </is>
      </c>
      <c r="F7" s="13" t="inlineStr">
        <is>
          <t>25.9</t>
        </is>
      </c>
      <c r="G7" s="13" t="inlineStr">
        <is>
          <t>Indicative</t>
        </is>
      </c>
      <c r="H7" s="13" t="inlineStr">
        <is>
          <t>Final structural design by engineer</t>
        </is>
      </c>
    </row>
    <row r="8" ht="38" customHeight="1">
      <c r="A8" s="23" t="inlineStr">
        <is>
          <t>B-03</t>
        </is>
      </c>
      <c r="B8" s="23" t="inlineStr">
        <is>
          <t>تراس باز / Open Terrace</t>
        </is>
      </c>
      <c r="C8" s="23" t="inlineStr">
        <is>
          <t>≈ 6.60 × 3.20</t>
        </is>
      </c>
      <c r="D8" s="23" t="inlineStr">
        <is>
          <t>طراحی</t>
        </is>
      </c>
      <c r="E8" s="23" t="inlineStr">
        <is>
          <t>m²</t>
        </is>
      </c>
      <c r="F8" s="23" t="inlineStr">
        <is>
          <t>21.1</t>
        </is>
      </c>
      <c r="G8" s="23" t="inlineStr">
        <is>
          <t>Indicative</t>
        </is>
      </c>
      <c r="H8" s="23" t="inlineStr">
        <is>
          <t>Integrated with pavilion</t>
        </is>
      </c>
    </row>
    <row r="9" ht="38" customHeight="1">
      <c r="A9" s="13" t="inlineStr">
        <is>
          <t>B-04</t>
        </is>
      </c>
      <c r="B9" s="13" t="inlineStr">
        <is>
          <t>آبنمای خطی / Linear Water</t>
        </is>
      </c>
      <c r="C9" s="13" t="inlineStr">
        <is>
          <t>≈ 11 × 0.50</t>
        </is>
      </c>
      <c r="D9" s="13" t="inlineStr">
        <is>
          <t>طراحی</t>
        </is>
      </c>
      <c r="E9" s="13" t="inlineStr">
        <is>
          <t>m²</t>
        </is>
      </c>
      <c r="F9" s="13" t="inlineStr">
        <is>
          <t>5.5</t>
        </is>
      </c>
      <c r="G9" s="13" t="inlineStr">
        <is>
          <t>Indicative</t>
        </is>
      </c>
      <c r="H9" s="13" t="inlineStr">
        <is>
          <t>Reflective architectural element</t>
        </is>
      </c>
    </row>
    <row r="10" ht="38" customHeight="1">
      <c r="A10" s="23" t="inlineStr">
        <is>
          <t>B-05</t>
        </is>
      </c>
      <c r="B10" s="23" t="inlineStr">
        <is>
          <t>باغ سبزی / Kitchen Garden</t>
        </is>
      </c>
      <c r="C10" s="23" t="inlineStr">
        <is>
          <t>North zone</t>
        </is>
      </c>
      <c r="D10" s="23" t="inlineStr">
        <is>
          <t>طراحی</t>
        </is>
      </c>
      <c r="E10" s="23" t="inlineStr">
        <is>
          <t>m²</t>
        </is>
      </c>
      <c r="F10" s="23" t="inlineStr">
        <is>
          <t>≈120</t>
        </is>
      </c>
      <c r="G10" s="23" t="inlineStr">
        <is>
          <t>Seasonal</t>
        </is>
      </c>
      <c r="H10" s="23" t="inlineStr">
        <is>
          <t>Productive planting</t>
        </is>
      </c>
    </row>
    <row r="11" ht="38" customHeight="1">
      <c r="A11" s="13" t="inlineStr">
        <is>
          <t>B-06</t>
        </is>
      </c>
      <c r="B11" s="13" t="inlineStr">
        <is>
          <t>لبه خدماتی / Service Edge</t>
        </is>
      </c>
      <c r="C11" s="13" t="inlineStr">
        <is>
          <t>Storage + washing + lobby</t>
        </is>
      </c>
      <c r="D11" s="13" t="inlineStr">
        <is>
          <t>موجود / Existing</t>
        </is>
      </c>
      <c r="E11" s="13" t="inlineStr">
        <is>
          <t>—</t>
        </is>
      </c>
      <c r="F11" s="13" t="inlineStr">
        <is>
          <t>—</t>
        </is>
      </c>
      <c r="G11" s="13" t="inlineStr">
        <is>
          <t>Untouched</t>
        </is>
      </c>
      <c r="H11" s="13" t="inlineStr">
        <is>
          <t>No redesign included</t>
        </is>
      </c>
    </row>
    <row r="12" ht="38" customHeight="1">
      <c r="A12" s="23" t="inlineStr">
        <is>
          <t>B-07</t>
        </is>
      </c>
      <c r="B12" s="23" t="inlineStr">
        <is>
          <t>ورودی / Entry</t>
        </is>
      </c>
      <c r="C12" s="23" t="inlineStr">
        <is>
          <t>Direct from parking corridor</t>
        </is>
      </c>
      <c r="D12" s="23" t="inlineStr">
        <is>
          <t>موجود / Existing</t>
        </is>
      </c>
      <c r="E12" s="23" t="inlineStr">
        <is>
          <t>—</t>
        </is>
      </c>
      <c r="F12" s="23" t="inlineStr">
        <is>
          <t>—</t>
        </is>
      </c>
      <c r="G12" s="23" t="inlineStr">
        <is>
          <t>Integrated threshold</t>
        </is>
      </c>
      <c r="H12" s="23" t="inlineStr">
        <is>
          <t>No gate/door assumed</t>
        </is>
      </c>
    </row>
  </sheetData>
  <mergeCells count="3">
    <mergeCell ref="A3:H3"/>
    <mergeCell ref="A2:H2"/>
    <mergeCell ref="A1:H1"/>
  </mergeCells>
  <printOptions horizontalCentered="1"/>
  <pageMargins left="0.35" right="0.35" top="0.45" bottom="0.45" header="0.2" footer="0.25"/>
  <pageSetup orientation="landscape" paperSize="9" fitToHeight="0" fitToWidth="1"/>
  <headerFooter>
    <oddHeader>&amp;C&amp;"Aptos,Bold"&amp;9 MAJID EISAPOUR  |  Design &amp; Spatial Practice</oddHeader>
    <oddFooter>&amp;LMAJID EISAPOUR  |  1405 / 2026&amp;CLandscape Design &amp; Technical BOQ | طراحی منظر و برآورد فنی&amp;RPage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H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24" customWidth="1" min="2" max="2"/>
    <col width="45" customWidth="1" min="3" max="3"/>
    <col width="12" customWidth="1" min="4" max="4"/>
    <col width="12" customWidth="1" min="5" max="5"/>
    <col width="19" customWidth="1" min="6" max="6"/>
    <col width="19" customWidth="1" min="7" max="7"/>
    <col width="48" customWidth="1" min="8" max="8"/>
  </cols>
  <sheetData>
    <row r="1" ht="34" customHeight="1">
      <c r="A1" s="7" t="inlineStr">
        <is>
          <t>BILL OF QUANTITIES — BOQ</t>
        </is>
      </c>
      <c r="B1" s="8" t="n"/>
      <c r="C1" s="8" t="n"/>
      <c r="D1" s="8" t="n"/>
      <c r="E1" s="8" t="n"/>
      <c r="F1" s="8" t="n"/>
      <c r="G1" s="8" t="n"/>
      <c r="H1" s="8" t="n"/>
    </row>
    <row r="2" ht="25" customHeight="1">
      <c r="A2" s="9" t="inlineStr">
        <is>
          <t>جدول مقادیر و برآورد هزینه</t>
        </is>
      </c>
      <c r="B2" s="8" t="n"/>
      <c r="C2" s="8" t="n"/>
      <c r="D2" s="8" t="n"/>
      <c r="E2" s="8" t="n"/>
      <c r="F2" s="8" t="n"/>
      <c r="G2" s="8" t="n"/>
      <c r="H2" s="8" t="n"/>
    </row>
    <row r="3" ht="20" customHeight="1">
      <c r="A3" s="10" t="inlineStr">
        <is>
          <t>Formula-driven technical estimate | برآورد فرمول‌محور</t>
        </is>
      </c>
      <c r="B3" s="8" t="n"/>
      <c r="C3" s="8" t="n"/>
      <c r="D3" s="8" t="n"/>
      <c r="E3" s="8" t="n"/>
      <c r="F3" s="8" t="n"/>
      <c r="G3" s="8" t="n"/>
      <c r="H3" s="8" t="n"/>
    </row>
    <row r="5" ht="32" customHeight="1">
      <c r="A5" s="11" t="inlineStr">
        <is>
          <t>کد / Code</t>
        </is>
      </c>
      <c r="B5" s="11" t="inlineStr">
        <is>
          <t>بخش و آیتم / Item</t>
        </is>
      </c>
      <c r="C5" s="11" t="inlineStr">
        <is>
          <t>شرح فنی و ریزجزئیات / Technical Description</t>
        </is>
      </c>
      <c r="D5" s="11" t="inlineStr">
        <is>
          <t>واحد / Unit</t>
        </is>
      </c>
      <c r="E5" s="11" t="inlineStr">
        <is>
          <t>مقدار / Qty</t>
        </is>
      </c>
      <c r="F5" s="11" t="inlineStr">
        <is>
          <t>قیمت واحد / Unit Rate (Toman)</t>
        </is>
      </c>
      <c r="G5" s="11" t="inlineStr">
        <is>
          <t>مبلغ کل / Total (Toman)</t>
        </is>
      </c>
      <c r="H5" s="11" t="inlineStr">
        <is>
          <t>مبنای محاسبه و نکات اجرا / Basis &amp; Notes</t>
        </is>
      </c>
    </row>
    <row r="6" ht="42" customHeight="1">
      <c r="A6" s="23" t="inlineStr">
        <is>
          <t>01-01</t>
        </is>
      </c>
      <c r="B6" s="23" t="inlineStr">
        <is>
          <t>تجهیز کارگاه / Site Setup</t>
        </is>
      </c>
      <c r="C6" s="23" t="inlineStr">
        <is>
          <t>محافظت از محدوده موجود، ابزار و تجهیز اولیه</t>
        </is>
      </c>
      <c r="D6" s="23" t="inlineStr">
        <is>
          <t>دستگاه</t>
        </is>
      </c>
      <c r="E6" s="24" t="inlineStr">
        <is>
          <t>1</t>
        </is>
      </c>
      <c r="F6" s="24" t="n">
        <v>35000000</v>
      </c>
      <c r="G6" s="24">
        <f>E6*F6</f>
        <v/>
      </c>
      <c r="H6" s="23" t="inlineStr">
        <is>
          <t>شروع پروژه؛ بدون ورود به لبه خدماتی</t>
        </is>
      </c>
    </row>
    <row r="7" ht="42" customHeight="1">
      <c r="A7" s="13" t="inlineStr">
        <is>
          <t>02-01</t>
        </is>
      </c>
      <c r="B7" s="13" t="inlineStr">
        <is>
          <t>خاکبرداری / Excavation</t>
        </is>
      </c>
      <c r="C7" s="13" t="inlineStr">
        <is>
          <t>برداشت موضعی برای زیرسازی مسیرها و سازه</t>
        </is>
      </c>
      <c r="D7" s="13" t="inlineStr">
        <is>
          <t>m³</t>
        </is>
      </c>
      <c r="E7" s="25" t="inlineStr">
        <is>
          <t>35</t>
        </is>
      </c>
      <c r="F7" s="25" t="n">
        <v>450000</v>
      </c>
      <c r="G7" s="25">
        <f>E7*F7</f>
        <v/>
      </c>
      <c r="H7" s="13" t="inlineStr">
        <is>
          <t>بر مبنای حدود 35 مترمکعب</t>
        </is>
      </c>
    </row>
    <row r="8" ht="42" customHeight="1">
      <c r="A8" s="23" t="inlineStr">
        <is>
          <t>02-02</t>
        </is>
      </c>
      <c r="B8" s="23" t="inlineStr">
        <is>
          <t>خاک زراعی / Topsoil</t>
        </is>
      </c>
      <c r="C8" s="23" t="inlineStr">
        <is>
          <t>تأمین و پخش خاک اصلاح‌شده</t>
        </is>
      </c>
      <c r="D8" s="23" t="inlineStr">
        <is>
          <t>m³</t>
        </is>
      </c>
      <c r="E8" s="24" t="inlineStr">
        <is>
          <t>28</t>
        </is>
      </c>
      <c r="F8" s="24" t="n">
        <v>700000</v>
      </c>
      <c r="G8" s="24">
        <f>E8*F8</f>
        <v/>
      </c>
      <c r="H8" s="23" t="inlineStr">
        <is>
          <t>برای کاشت و باغ سبزی</t>
        </is>
      </c>
    </row>
    <row r="9" ht="42" customHeight="1">
      <c r="A9" s="13" t="inlineStr">
        <is>
          <t>02-03</t>
        </is>
      </c>
      <c r="B9" s="13" t="inlineStr">
        <is>
          <t>کمپوست / Compost</t>
        </is>
      </c>
      <c r="C9" s="13" t="inlineStr">
        <is>
          <t>ماده آلی و اصلاح خاک</t>
        </is>
      </c>
      <c r="D9" s="13" t="inlineStr">
        <is>
          <t>m³</t>
        </is>
      </c>
      <c r="E9" s="25" t="inlineStr">
        <is>
          <t>8</t>
        </is>
      </c>
      <c r="F9" s="25" t="n">
        <v>950000</v>
      </c>
      <c r="G9" s="25">
        <f>E9*F9</f>
        <v/>
      </c>
      <c r="H9" s="13" t="inlineStr">
        <is>
          <t>اختلاط کنترل‌شده</t>
        </is>
      </c>
    </row>
    <row r="10" ht="42" customHeight="1">
      <c r="A10" s="23" t="inlineStr">
        <is>
          <t>03-01</t>
        </is>
      </c>
      <c r="B10" s="23" t="inlineStr">
        <is>
          <t>کف‌سازی سنگ / Stone Paving</t>
        </is>
      </c>
      <c r="C10" s="23" t="inlineStr">
        <is>
          <t>سنگ طبیعی، برش، ملات/بستر، بندکشی</t>
        </is>
      </c>
      <c r="D10" s="23" t="inlineStr">
        <is>
          <t>m²</t>
        </is>
      </c>
      <c r="E10" s="24" t="inlineStr">
        <is>
          <t>45</t>
        </is>
      </c>
      <c r="F10" s="24" t="n">
        <v>3200000</v>
      </c>
      <c r="G10" s="24">
        <f>E10*F10</f>
        <v/>
      </c>
      <c r="H10" s="23" t="inlineStr">
        <is>
          <t>محدوده مسیر و فضای سخت</t>
        </is>
      </c>
    </row>
    <row r="11" ht="42" customHeight="1">
      <c r="A11" s="13" t="inlineStr">
        <is>
          <t>03-02</t>
        </is>
      </c>
      <c r="B11" s="13" t="inlineStr">
        <is>
          <t>زیرسازی / Subbase</t>
        </is>
      </c>
      <c r="C11" s="13" t="inlineStr">
        <is>
          <t>مصالح دانه‌بندی + تراکم</t>
        </is>
      </c>
      <c r="D11" s="13" t="inlineStr">
        <is>
          <t>m³</t>
        </is>
      </c>
      <c r="E11" s="25" t="inlineStr">
        <is>
          <t>28</t>
        </is>
      </c>
      <c r="F11" s="25" t="n">
        <v>900000</v>
      </c>
      <c r="G11" s="25">
        <f>E11*F11</f>
        <v/>
      </c>
      <c r="H11" s="13" t="inlineStr">
        <is>
          <t>تراکم مرحله‌ای</t>
        </is>
      </c>
    </row>
    <row r="12" ht="42" customHeight="1">
      <c r="A12" s="23" t="inlineStr">
        <is>
          <t>04-01</t>
        </is>
      </c>
      <c r="B12" s="23" t="inlineStr">
        <is>
          <t>فونداسیون پاویون / Foundation</t>
        </is>
      </c>
      <c r="C12" s="23" t="inlineStr">
        <is>
          <t>بتن، آرماتور و قالب‌بندی اولیه</t>
        </is>
      </c>
      <c r="D12" s="23" t="inlineStr">
        <is>
          <t>m²</t>
        </is>
      </c>
      <c r="E12" s="24" t="inlineStr">
        <is>
          <t>30</t>
        </is>
      </c>
      <c r="F12" s="24" t="n">
        <v>8500000</v>
      </c>
      <c r="G12" s="24">
        <f>E12*F12</f>
        <v/>
      </c>
      <c r="H12" s="23" t="inlineStr">
        <is>
          <t>طرح سازه نهایی جداگانه</t>
        </is>
      </c>
    </row>
    <row r="13" ht="42" customHeight="1">
      <c r="A13" s="13" t="inlineStr">
        <is>
          <t>04-02</t>
        </is>
      </c>
      <c r="B13" s="13" t="inlineStr">
        <is>
          <t>اسکلت فلزی / Steel Frame</t>
        </is>
      </c>
      <c r="C13" s="13" t="inlineStr">
        <is>
          <t>پروفیل، برش، جوش، ضدزنگ و نصب</t>
        </is>
      </c>
      <c r="D13" s="13" t="inlineStr">
        <is>
          <t>kg</t>
        </is>
      </c>
      <c r="E13" s="25" t="inlineStr">
        <is>
          <t>1200</t>
        </is>
      </c>
      <c r="F13" s="25" t="n">
        <v>210000</v>
      </c>
      <c r="G13" s="25">
        <f>E13*F13</f>
        <v/>
      </c>
      <c r="H13" s="13" t="inlineStr">
        <is>
          <t>وزن تقریبی؛ تأیید مهندس سازه</t>
        </is>
      </c>
    </row>
    <row r="14" ht="42" customHeight="1">
      <c r="A14" s="23" t="inlineStr">
        <is>
          <t>04-03</t>
        </is>
      </c>
      <c r="B14" s="23" t="inlineStr">
        <is>
          <t>سقف / Roof</t>
        </is>
      </c>
      <c r="C14" s="23" t="inlineStr">
        <is>
          <t>پوسته سقف و لایه‌های آب‌بندی</t>
        </is>
      </c>
      <c r="D14" s="23" t="inlineStr">
        <is>
          <t>m²</t>
        </is>
      </c>
      <c r="E14" s="24" t="inlineStr">
        <is>
          <t>32</t>
        </is>
      </c>
      <c r="F14" s="24" t="n">
        <v>4200000</v>
      </c>
      <c r="G14" s="24">
        <f>E14*F14</f>
        <v/>
      </c>
      <c r="H14" s="23" t="inlineStr">
        <is>
          <t>هماهنگ با دیتیل معماری</t>
        </is>
      </c>
    </row>
    <row r="15" ht="42" customHeight="1">
      <c r="A15" s="13" t="inlineStr">
        <is>
          <t>04-04</t>
        </is>
      </c>
      <c r="B15" s="13" t="inlineStr">
        <is>
          <t>ترمووود / Thermowood</t>
        </is>
      </c>
      <c r="C15" s="13" t="inlineStr">
        <is>
          <t>سقف کاذب/پوسته چوبی منتخب</t>
        </is>
      </c>
      <c r="D15" s="13" t="inlineStr">
        <is>
          <t>m²</t>
        </is>
      </c>
      <c r="E15" s="25" t="inlineStr">
        <is>
          <t>30</t>
        </is>
      </c>
      <c r="F15" s="25" t="n">
        <v>3500000</v>
      </c>
      <c r="G15" s="25">
        <f>E15*F15</f>
        <v/>
      </c>
      <c r="H15" s="13" t="inlineStr">
        <is>
          <t>قیمت وابسته به گونه و گرید</t>
        </is>
      </c>
    </row>
    <row r="16" ht="42" customHeight="1">
      <c r="A16" s="23" t="inlineStr">
        <is>
          <t>05-01</t>
        </is>
      </c>
      <c r="B16" s="23" t="inlineStr">
        <is>
          <t>تراس / Terrace</t>
        </is>
      </c>
      <c r="C16" s="23" t="inlineStr">
        <is>
          <t>کف‌سازی و لبه‌سازی فضای نشستن</t>
        </is>
      </c>
      <c r="D16" s="23" t="inlineStr">
        <is>
          <t>m²</t>
        </is>
      </c>
      <c r="E16" s="24" t="inlineStr">
        <is>
          <t>22</t>
        </is>
      </c>
      <c r="F16" s="24" t="n">
        <v>3000000</v>
      </c>
      <c r="G16" s="24">
        <f>E16*F16</f>
        <v/>
      </c>
      <c r="H16" s="23" t="inlineStr">
        <is>
          <t>یکپارچه با پاویون</t>
        </is>
      </c>
    </row>
    <row r="17" ht="42" customHeight="1">
      <c r="A17" s="13" t="inlineStr">
        <is>
          <t>06-01</t>
        </is>
      </c>
      <c r="B17" s="13" t="inlineStr">
        <is>
          <t>آبنمای خطی / Linear Water</t>
        </is>
      </c>
      <c r="C17" s="13" t="inlineStr">
        <is>
          <t>کاسه، آب‌بندی، لبه سنگی و گردش آب</t>
        </is>
      </c>
      <c r="D17" s="13" t="inlineStr">
        <is>
          <t>lm</t>
        </is>
      </c>
      <c r="E17" s="25" t="inlineStr">
        <is>
          <t>11</t>
        </is>
      </c>
      <c r="F17" s="25" t="n">
        <v>15000000</v>
      </c>
      <c r="G17" s="25">
        <f>E17*F17</f>
        <v/>
      </c>
      <c r="H17" s="13" t="inlineStr">
        <is>
          <t>آبنمای کم‌عمق و معماری</t>
        </is>
      </c>
    </row>
    <row r="18" ht="42" customHeight="1">
      <c r="A18" s="23" t="inlineStr">
        <is>
          <t>07-01</t>
        </is>
      </c>
      <c r="B18" s="23" t="inlineStr">
        <is>
          <t>آبیاری زیرسطحی / Irrigation</t>
        </is>
      </c>
      <c r="C18" s="23" t="inlineStr">
        <is>
          <t>شبکه اصلی و کنترل</t>
        </is>
      </c>
      <c r="D18" s="23" t="inlineStr">
        <is>
          <t>m²</t>
        </is>
      </c>
      <c r="E18" s="24" t="inlineStr">
        <is>
          <t>495</t>
        </is>
      </c>
      <c r="F18" s="24" t="n">
        <v>190000</v>
      </c>
      <c r="G18" s="24">
        <f>E18*F18</f>
        <v/>
      </c>
      <c r="H18" s="23" t="inlineStr">
        <is>
          <t>بر مبنای کل سایت</t>
        </is>
      </c>
    </row>
    <row r="19" ht="42" customHeight="1">
      <c r="A19" s="13" t="inlineStr">
        <is>
          <t>07-02</t>
        </is>
      </c>
      <c r="B19" s="13" t="inlineStr">
        <is>
          <t>لوله قطره‌ای / Drip Line</t>
        </is>
      </c>
      <c r="C19" s="13" t="inlineStr">
        <is>
          <t>لوله و اتصالات قطره‌ای</t>
        </is>
      </c>
      <c r="D19" s="13" t="inlineStr">
        <is>
          <t>lm</t>
        </is>
      </c>
      <c r="E19" s="25" t="inlineStr">
        <is>
          <t>350</t>
        </is>
      </c>
      <c r="F19" s="25" t="n">
        <v>100000</v>
      </c>
      <c r="G19" s="25">
        <f>E19*F19</f>
        <v/>
      </c>
      <c r="H19" s="13" t="inlineStr">
        <is>
          <t>برای باغ سبزی و کاشت</t>
        </is>
      </c>
    </row>
    <row r="20" ht="42" customHeight="1">
      <c r="A20" s="23" t="inlineStr">
        <is>
          <t>08-01</t>
        </is>
      </c>
      <c r="B20" s="23" t="inlineStr">
        <is>
          <t>چمن / Lawn</t>
        </is>
      </c>
      <c r="C20" s="23" t="inlineStr">
        <is>
          <t>زیرسازی و اجرای چمن</t>
        </is>
      </c>
      <c r="D20" s="23" t="inlineStr">
        <is>
          <t>m²</t>
        </is>
      </c>
      <c r="E20" s="24" t="inlineStr">
        <is>
          <t>140</t>
        </is>
      </c>
      <c r="F20" s="24" t="n">
        <v>270000</v>
      </c>
      <c r="G20" s="24">
        <f>E20*F20</f>
        <v/>
      </c>
      <c r="H20" s="23" t="inlineStr">
        <is>
          <t>چمن مقاوم و کم‌دردسر</t>
        </is>
      </c>
    </row>
    <row r="21" ht="42" customHeight="1">
      <c r="A21" s="13" t="inlineStr">
        <is>
          <t>08-02</t>
        </is>
      </c>
      <c r="B21" s="13" t="inlineStr">
        <is>
          <t>درخت شاخص / Specimen Tree</t>
        </is>
      </c>
      <c r="C21" s="13" t="inlineStr">
        <is>
          <t>درخت شاخص با کاشت و تثبیت</t>
        </is>
      </c>
      <c r="D21" s="13" t="inlineStr">
        <is>
          <t>عدد</t>
        </is>
      </c>
      <c r="E21" s="25" t="inlineStr">
        <is>
          <t>2</t>
        </is>
      </c>
      <c r="F21" s="25" t="n">
        <v>12000000</v>
      </c>
      <c r="G21" s="25">
        <f>E21*F21</f>
        <v/>
      </c>
      <c r="H21" s="13" t="inlineStr">
        <is>
          <t>انتخاب نهایی با توجه به اقلیم</t>
        </is>
      </c>
    </row>
    <row r="22" ht="42" customHeight="1">
      <c r="A22" s="23" t="inlineStr">
        <is>
          <t>08-03</t>
        </is>
      </c>
      <c r="B22" s="23" t="inlineStr">
        <is>
          <t>درخت میوه / Fruit Tree</t>
        </is>
      </c>
      <c r="C22" s="23" t="inlineStr">
        <is>
          <t>نهال میوه مناسب منطقه</t>
        </is>
      </c>
      <c r="D22" s="23" t="inlineStr">
        <is>
          <t>عدد</t>
        </is>
      </c>
      <c r="E22" s="24" t="inlineStr">
        <is>
          <t>4</t>
        </is>
      </c>
      <c r="F22" s="24" t="n">
        <v>5500000</v>
      </c>
      <c r="G22" s="24">
        <f>E22*F22</f>
        <v/>
      </c>
      <c r="H22" s="23" t="inlineStr">
        <is>
          <t>در محدوده باغ تولیدی</t>
        </is>
      </c>
    </row>
    <row r="23" ht="42" customHeight="1">
      <c r="A23" s="13" t="inlineStr">
        <is>
          <t>08-04</t>
        </is>
      </c>
      <c r="B23" s="13" t="inlineStr">
        <is>
          <t>درختچه / Shrub</t>
        </is>
      </c>
      <c r="C23" s="13" t="inlineStr">
        <is>
          <t>کاشت درختچه‌های چندلایه</t>
        </is>
      </c>
      <c r="D23" s="13" t="inlineStr">
        <is>
          <t>عدد</t>
        </is>
      </c>
      <c r="E23" s="25" t="inlineStr">
        <is>
          <t>35</t>
        </is>
      </c>
      <c r="F23" s="25" t="n">
        <v>950000</v>
      </c>
      <c r="G23" s="25">
        <f>E23*F23</f>
        <v/>
      </c>
      <c r="H23" s="13" t="inlineStr">
        <is>
          <t>تنوع بافت و چهار فصل</t>
        </is>
      </c>
    </row>
    <row r="24" ht="42" customHeight="1">
      <c r="A24" s="23" t="inlineStr">
        <is>
          <t>09-01</t>
        </is>
      </c>
      <c r="B24" s="23" t="inlineStr">
        <is>
          <t>باغچه تولیدی / Raised Beds</t>
        </is>
      </c>
      <c r="C24" s="23" t="inlineStr">
        <is>
          <t>ساخت بسترهای کاشت سبزی</t>
        </is>
      </c>
      <c r="D24" s="23" t="inlineStr">
        <is>
          <t>m²</t>
        </is>
      </c>
      <c r="E24" s="24" t="inlineStr">
        <is>
          <t>90</t>
        </is>
      </c>
      <c r="F24" s="24" t="n">
        <v>1500000</v>
      </c>
      <c r="G24" s="24">
        <f>E24*F24</f>
        <v/>
      </c>
      <c r="H24" s="23" t="inlineStr">
        <is>
          <t>بسترهای خوانا و قابل نگهداری</t>
        </is>
      </c>
    </row>
    <row r="25" ht="42" customHeight="1">
      <c r="A25" s="13" t="inlineStr">
        <is>
          <t>10-01</t>
        </is>
      </c>
      <c r="B25" s="13" t="inlineStr">
        <is>
          <t>چراغ مسیر / Path Light</t>
        </is>
      </c>
      <c r="C25" s="13" t="inlineStr">
        <is>
          <t>چراغ محوطه با IP مناسب</t>
        </is>
      </c>
      <c r="D25" s="13" t="inlineStr">
        <is>
          <t>عدد</t>
        </is>
      </c>
      <c r="E25" s="25" t="inlineStr">
        <is>
          <t>10</t>
        </is>
      </c>
      <c r="F25" s="25" t="n">
        <v>4800000</v>
      </c>
      <c r="G25" s="25">
        <f>E25*F25</f>
        <v/>
      </c>
      <c r="H25" s="13" t="inlineStr">
        <is>
          <t>نور کم‌ارتفاع و کنترل‌شده</t>
        </is>
      </c>
    </row>
    <row r="26" ht="42" customHeight="1">
      <c r="A26" s="23" t="inlineStr">
        <is>
          <t>10-02</t>
        </is>
      </c>
      <c r="B26" s="23" t="inlineStr">
        <is>
          <t>چراغ توکار / Inground Light</t>
        </is>
      </c>
      <c r="C26" s="23" t="inlineStr">
        <is>
          <t>نورپردازی تاکیدی</t>
        </is>
      </c>
      <c r="D26" s="23" t="inlineStr">
        <is>
          <t>عدد</t>
        </is>
      </c>
      <c r="E26" s="24" t="inlineStr">
        <is>
          <t>8</t>
        </is>
      </c>
      <c r="F26" s="24" t="n">
        <v>5200000</v>
      </c>
      <c r="G26" s="24">
        <f>E26*F26</f>
        <v/>
      </c>
      <c r="H26" s="23" t="inlineStr">
        <is>
          <t>بدون خیرگی</t>
        </is>
      </c>
    </row>
    <row r="27" ht="42" customHeight="1">
      <c r="A27" s="13" t="inlineStr">
        <is>
          <t>10-03</t>
        </is>
      </c>
      <c r="B27" s="13" t="inlineStr">
        <is>
          <t>چراغ خطی آب / Water Linear Light</t>
        </is>
      </c>
      <c r="C27" s="13" t="inlineStr">
        <is>
          <t>نور خطی ضدآب</t>
        </is>
      </c>
      <c r="D27" s="13" t="inlineStr">
        <is>
          <t>lm</t>
        </is>
      </c>
      <c r="E27" s="25" t="inlineStr">
        <is>
          <t>10</t>
        </is>
      </c>
      <c r="F27" s="25" t="n">
        <v>1200000</v>
      </c>
      <c r="G27" s="25">
        <f>E27*F27</f>
        <v/>
      </c>
      <c r="H27" s="13" t="inlineStr">
        <is>
          <t>هماهنگ با دیتیل آب</t>
        </is>
      </c>
    </row>
    <row r="28" ht="42" customHeight="1">
      <c r="A28" s="23" t="inlineStr">
        <is>
          <t>12-01</t>
        </is>
      </c>
      <c r="B28" s="23" t="inlineStr">
        <is>
          <t>کنترل کیفیت و تحویل / QA &amp; Handover</t>
        </is>
      </c>
      <c r="C28" s="23" t="inlineStr">
        <is>
          <t>بازدید، رفع نواقص و تحویل اولیه</t>
        </is>
      </c>
      <c r="D28" s="23" t="inlineStr">
        <is>
          <t>پروژه</t>
        </is>
      </c>
      <c r="E28" s="24" t="inlineStr">
        <is>
          <t>1</t>
        </is>
      </c>
      <c r="F28" s="24" t="n">
        <v>65000000</v>
      </c>
      <c r="G28" s="24">
        <f>E28*F28</f>
        <v/>
      </c>
      <c r="H28" s="23" t="inlineStr">
        <is>
          <t>دو مرحله کنترل</t>
        </is>
      </c>
    </row>
    <row r="29">
      <c r="F29" s="26" t="inlineStr">
        <is>
          <t>جمع مستقیم / Direct Cost</t>
        </is>
      </c>
      <c r="G29" s="27">
        <f>SUM(G6:G28)</f>
        <v/>
      </c>
    </row>
    <row r="30">
      <c r="F30" t="inlineStr">
        <is>
          <t>ذخیره ریسک و پرت 10% / Risk &amp; Waste</t>
        </is>
      </c>
      <c r="G30" s="28">
        <f>G29*10%</f>
        <v/>
      </c>
    </row>
    <row r="31">
      <c r="F31" t="inlineStr">
        <is>
          <t>برآورد کل / Estimated Total</t>
        </is>
      </c>
      <c r="G31" s="28">
        <f>G29+G30</f>
        <v/>
      </c>
    </row>
  </sheetData>
  <autoFilter ref="A5:H28"/>
  <mergeCells count="3">
    <mergeCell ref="A3:H3"/>
    <mergeCell ref="A2:H2"/>
    <mergeCell ref="A1:H1"/>
  </mergeCells>
  <printOptions horizontalCentered="1"/>
  <pageMargins left="0.35" right="0.35" top="0.45" bottom="0.45" header="0.2" footer="0.25"/>
  <pageSetup orientation="landscape" paperSize="9" fitToHeight="0" fitToWidth="1"/>
  <headerFooter>
    <oddHeader>&amp;C&amp;"Aptos,Bold"&amp;9 MAJID EISAPOUR  |  Design &amp; Spatial Practice</oddHeader>
    <oddFooter>&amp;LMAJID EISAPOUR  |  1405 / 2026&amp;CLandscape Design &amp; Technical BOQ | طراحی منظر و برآورد فنی&amp;RPage &amp;P /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G10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5" customWidth="1" min="2" max="2"/>
    <col width="28" customWidth="1" min="3" max="3"/>
    <col width="30" customWidth="1" min="4" max="4"/>
    <col width="12" customWidth="1" min="5" max="5"/>
    <col width="12" customWidth="1" min="6" max="6"/>
    <col width="48" customWidth="1" min="7" max="7"/>
  </cols>
  <sheetData>
    <row r="1" ht="34" customHeight="1">
      <c r="A1" s="7" t="inlineStr">
        <is>
          <t>MATERIAL SCHEDULE</t>
        </is>
      </c>
      <c r="B1" s="8" t="n"/>
      <c r="C1" s="8" t="n"/>
      <c r="D1" s="8" t="n"/>
      <c r="E1" s="8" t="n"/>
      <c r="F1" s="8" t="n"/>
      <c r="G1" s="8" t="n"/>
    </row>
    <row r="2" ht="25" customHeight="1">
      <c r="A2" s="9" t="inlineStr">
        <is>
          <t>جدول متریال و مشخصات</t>
        </is>
      </c>
      <c r="B2" s="8" t="n"/>
      <c r="C2" s="8" t="n"/>
      <c r="D2" s="8" t="n"/>
      <c r="E2" s="8" t="n"/>
      <c r="F2" s="8" t="n"/>
      <c r="G2" s="8" t="n"/>
    </row>
    <row r="3" ht="20" customHeight="1">
      <c r="A3" s="10" t="inlineStr">
        <is>
          <t>Material language, application and execution intent | زبان متریال و کاربرد</t>
        </is>
      </c>
      <c r="B3" s="8" t="n"/>
      <c r="C3" s="8" t="n"/>
      <c r="D3" s="8" t="n"/>
      <c r="E3" s="8" t="n"/>
      <c r="F3" s="8" t="n"/>
      <c r="G3" s="8" t="n"/>
    </row>
    <row r="5" ht="32" customHeight="1">
      <c r="A5" s="11" t="inlineStr">
        <is>
          <t>کد / Code</t>
        </is>
      </c>
      <c r="B5" s="11" t="inlineStr">
        <is>
          <t>متریال / Material</t>
        </is>
      </c>
      <c r="C5" s="11" t="inlineStr">
        <is>
          <t>کاربرد / Application</t>
        </is>
      </c>
      <c r="D5" s="11" t="inlineStr">
        <is>
          <t>حس و کیفیت / Character</t>
        </is>
      </c>
      <c r="E5" s="11" t="inlineStr">
        <is>
          <t>واحد / Unit</t>
        </is>
      </c>
      <c r="F5" s="11" t="inlineStr">
        <is>
          <t>مقدار / Qty</t>
        </is>
      </c>
      <c r="G5" s="11" t="inlineStr">
        <is>
          <t>یادداشت اجرایی / Execution Note</t>
        </is>
      </c>
    </row>
    <row r="6" ht="48" customHeight="1">
      <c r="A6" s="23" t="inlineStr">
        <is>
          <t>M-01</t>
        </is>
      </c>
      <c r="B6" s="23" t="inlineStr">
        <is>
          <t>سنگ طبیعی / Natural Stone</t>
        </is>
      </c>
      <c r="C6" s="23" t="inlineStr">
        <is>
          <t>مسیرها و تراس</t>
        </is>
      </c>
      <c r="D6" s="23" t="inlineStr">
        <is>
          <t>Calm • tactile • durable</t>
        </is>
      </c>
      <c r="E6" s="23" t="inlineStr">
        <is>
          <t>m²</t>
        </is>
      </c>
      <c r="F6" s="23" t="inlineStr">
        <is>
          <t>≈67</t>
        </is>
      </c>
      <c r="G6" s="23" t="inlineStr">
        <is>
          <t>نمونه و گرید نهایی پیش از سفارش تأیید شود</t>
        </is>
      </c>
    </row>
    <row r="7" ht="48" customHeight="1">
      <c r="A7" s="13" t="inlineStr">
        <is>
          <t>M-02</t>
        </is>
      </c>
      <c r="B7" s="13" t="inlineStr">
        <is>
          <t>ترمووود / Thermowood</t>
        </is>
      </c>
      <c r="C7" s="13" t="inlineStr">
        <is>
          <t>سقف و جزئیات پاویون</t>
        </is>
      </c>
      <c r="D7" s="13" t="inlineStr">
        <is>
          <t>Warm • precise • natural</t>
        </is>
      </c>
      <c r="E7" s="13" t="inlineStr">
        <is>
          <t>m²</t>
        </is>
      </c>
      <c r="F7" s="13" t="inlineStr">
        <is>
          <t>≈30</t>
        </is>
      </c>
      <c r="G7" s="13" t="inlineStr">
        <is>
          <t>زیرسازی و فاصله تهویه الزامی</t>
        </is>
      </c>
    </row>
    <row r="8" ht="48" customHeight="1">
      <c r="A8" s="23" t="inlineStr">
        <is>
          <t>M-03</t>
        </is>
      </c>
      <c r="B8" s="23" t="inlineStr">
        <is>
          <t>فلز رنگ‌شده / Coated Steel</t>
        </is>
      </c>
      <c r="C8" s="23" t="inlineStr">
        <is>
          <t>اسکلت پاویون</t>
        </is>
      </c>
      <c r="D8" s="23" t="inlineStr">
        <is>
          <t>Light • minimal • architectural</t>
        </is>
      </c>
      <c r="E8" s="23" t="inlineStr">
        <is>
          <t>kg</t>
        </is>
      </c>
      <c r="F8" s="23" t="inlineStr">
        <is>
          <t>≈1200</t>
        </is>
      </c>
      <c r="G8" s="23" t="inlineStr">
        <is>
          <t>ضدخوردگی مناسب رطوبت شمال</t>
        </is>
      </c>
    </row>
    <row r="9" ht="48" customHeight="1">
      <c r="A9" s="13" t="inlineStr">
        <is>
          <t>M-04</t>
        </is>
      </c>
      <c r="B9" s="13" t="inlineStr">
        <is>
          <t>بتن / Concrete</t>
        </is>
      </c>
      <c r="C9" s="13" t="inlineStr">
        <is>
          <t>فونداسیون و بسترها</t>
        </is>
      </c>
      <c r="D9" s="13" t="inlineStr">
        <is>
          <t>Mass • quiet • robust</t>
        </is>
      </c>
      <c r="E9" s="13" t="inlineStr">
        <is>
          <t>m³</t>
        </is>
      </c>
      <c r="F9" s="13" t="inlineStr">
        <is>
          <t>≈6</t>
        </is>
      </c>
      <c r="G9" s="13" t="inlineStr">
        <is>
          <t>عیار و طرح اختلاط توسط مجری/مهندس</t>
        </is>
      </c>
    </row>
    <row r="10" ht="48" customHeight="1">
      <c r="A10" s="23" t="inlineStr">
        <is>
          <t>M-05</t>
        </is>
      </c>
      <c r="B10" s="23" t="inlineStr">
        <is>
          <t>آب / Water</t>
        </is>
      </c>
      <c r="C10" s="23" t="inlineStr">
        <is>
          <t>آبنمای خطی</t>
        </is>
      </c>
      <c r="D10" s="23" t="inlineStr">
        <is>
          <t>Reflective • sensory • calm</t>
        </is>
      </c>
      <c r="E10" s="23" t="inlineStr">
        <is>
          <t>lm</t>
        </is>
      </c>
      <c r="F10" s="23" t="inlineStr">
        <is>
          <t>≈11</t>
        </is>
      </c>
      <c r="G10" s="23" t="inlineStr">
        <is>
          <t>گردش بسته و دسترسی سرویس</t>
        </is>
      </c>
    </row>
  </sheetData>
  <mergeCells count="3">
    <mergeCell ref="A3:G3"/>
    <mergeCell ref="A2:G2"/>
    <mergeCell ref="A1:G1"/>
  </mergeCells>
  <printOptions horizontalCentered="1"/>
  <pageMargins left="0.35" right="0.35" top="0.45" bottom="0.45" header="0.2" footer="0.25"/>
  <pageSetup orientation="landscape" paperSize="9" fitToHeight="0" fitToWidth="1"/>
  <headerFooter>
    <oddHeader>&amp;C&amp;"Aptos,Bold"&amp;9 MAJID EISAPOUR  |  Design &amp; Spatial Practice</oddHeader>
    <oddFooter>&amp;LMAJID EISAPOUR  |  1405 / 2026&amp;CLandscape Design &amp; Technical BOQ | طراحی منظر و برآورد فنی&amp;RPage &amp;P /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4" customWidth="1" min="2" max="2"/>
    <col width="28" customWidth="1" min="3" max="3"/>
    <col width="24" customWidth="1" min="4" max="4"/>
    <col width="12" customWidth="1" min="5" max="5"/>
    <col width="12" customWidth="1" min="6" max="6"/>
    <col width="48" customWidth="1" min="7" max="7"/>
  </cols>
  <sheetData>
    <row r="1" ht="34" customHeight="1">
      <c r="A1" s="7" t="inlineStr">
        <is>
          <t>PLANTING SCHEDULE</t>
        </is>
      </c>
      <c r="B1" s="8" t="n"/>
      <c r="C1" s="8" t="n"/>
      <c r="D1" s="8" t="n"/>
      <c r="E1" s="8" t="n"/>
      <c r="F1" s="8" t="n"/>
      <c r="G1" s="8" t="n"/>
    </row>
    <row r="2" ht="25" customHeight="1">
      <c r="A2" s="9" t="inlineStr">
        <is>
          <t>پالت کاشت و برنامه سبز</t>
        </is>
      </c>
      <c r="B2" s="8" t="n"/>
      <c r="C2" s="8" t="n"/>
      <c r="D2" s="8" t="n"/>
      <c r="E2" s="8" t="n"/>
      <c r="F2" s="8" t="n"/>
      <c r="G2" s="8" t="n"/>
    </row>
    <row r="3" ht="20" customHeight="1">
      <c r="A3" s="10" t="inlineStr">
        <is>
          <t>A layered, seasonal and maintainable planting strategy | پالت کاشت لایه‌ای و قابل نگهداری</t>
        </is>
      </c>
      <c r="B3" s="8" t="n"/>
      <c r="C3" s="8" t="n"/>
      <c r="D3" s="8" t="n"/>
      <c r="E3" s="8" t="n"/>
      <c r="F3" s="8" t="n"/>
      <c r="G3" s="8" t="n"/>
    </row>
    <row r="5" ht="32" customHeight="1">
      <c r="A5" s="11" t="inlineStr">
        <is>
          <t>کد / Code</t>
        </is>
      </c>
      <c r="B5" s="11" t="inlineStr">
        <is>
          <t>گروه / Group</t>
        </is>
      </c>
      <c r="C5" s="11" t="inlineStr">
        <is>
          <t>نقش / Role</t>
        </is>
      </c>
      <c r="D5" s="11" t="inlineStr">
        <is>
          <t>مکان / Zone</t>
        </is>
      </c>
      <c r="E5" s="11" t="inlineStr">
        <is>
          <t>واحد / Unit</t>
        </is>
      </c>
      <c r="F5" s="11" t="inlineStr">
        <is>
          <t>مقدار / Qty</t>
        </is>
      </c>
      <c r="G5" s="11" t="inlineStr">
        <is>
          <t>راهنمای انتخاب / Selection Guide</t>
        </is>
      </c>
    </row>
    <row r="6" ht="45" customHeight="1">
      <c r="A6" s="23" t="inlineStr">
        <is>
          <t>P-01</t>
        </is>
      </c>
      <c r="B6" s="23" t="inlineStr">
        <is>
          <t>درخت شاخص / Specimen</t>
        </is>
      </c>
      <c r="C6" s="23" t="inlineStr">
        <is>
          <t>Focal tree / نقطه کانونی</t>
        </is>
      </c>
      <c r="D6" s="23" t="inlineStr">
        <is>
          <t>مرکز باغ</t>
        </is>
      </c>
      <c r="E6" s="23" t="inlineStr">
        <is>
          <t>عدد</t>
        </is>
      </c>
      <c r="F6" s="23" t="inlineStr">
        <is>
          <t>2</t>
        </is>
      </c>
      <c r="G6" s="23" t="inlineStr">
        <is>
          <t>فرم معماری، سایه ملایم، سازگار با اقلیم</t>
        </is>
      </c>
    </row>
    <row r="7" ht="45" customHeight="1">
      <c r="A7" s="13" t="inlineStr">
        <is>
          <t>P-02</t>
        </is>
      </c>
      <c r="B7" s="13" t="inlineStr">
        <is>
          <t>درخت میوه / Fruit</t>
        </is>
      </c>
      <c r="C7" s="13" t="inlineStr">
        <is>
          <t>Productive layer / لایه تولیدی</t>
        </is>
      </c>
      <c r="D7" s="13" t="inlineStr">
        <is>
          <t>شمال</t>
        </is>
      </c>
      <c r="E7" s="13" t="inlineStr">
        <is>
          <t>عدد</t>
        </is>
      </c>
      <c r="F7" s="13" t="inlineStr">
        <is>
          <t>4</t>
        </is>
      </c>
      <c r="G7" s="13" t="inlineStr">
        <is>
          <t>گونه‌های سازگار با اقلیم و نگهداری واقعی</t>
        </is>
      </c>
    </row>
    <row r="8" ht="45" customHeight="1">
      <c r="A8" s="23" t="inlineStr">
        <is>
          <t>P-03</t>
        </is>
      </c>
      <c r="B8" s="23" t="inlineStr">
        <is>
          <t>درختچه / Shrub</t>
        </is>
      </c>
      <c r="C8" s="23" t="inlineStr">
        <is>
          <t>Structure + texture</t>
        </is>
      </c>
      <c r="D8" s="23" t="inlineStr">
        <is>
          <t>حاشیه‌ها</t>
        </is>
      </c>
      <c r="E8" s="23" t="inlineStr">
        <is>
          <t>عدد</t>
        </is>
      </c>
      <c r="F8" s="23" t="inlineStr">
        <is>
          <t>35</t>
        </is>
      </c>
      <c r="G8" s="23" t="inlineStr">
        <is>
          <t>ترکیب همیشه‌سبز و فصلی</t>
        </is>
      </c>
    </row>
    <row r="9" ht="45" customHeight="1">
      <c r="A9" s="13" t="inlineStr">
        <is>
          <t>P-04</t>
        </is>
      </c>
      <c r="B9" s="13" t="inlineStr">
        <is>
          <t>پرچین / Hedge</t>
        </is>
      </c>
      <c r="C9" s="13" t="inlineStr">
        <is>
          <t>Filter + frame</t>
        </is>
      </c>
      <c r="D9" s="13" t="inlineStr">
        <is>
          <t>لبه‌ها</t>
        </is>
      </c>
      <c r="E9" s="13" t="inlineStr">
        <is>
          <t>lm</t>
        </is>
      </c>
      <c r="F9" s="13" t="inlineStr">
        <is>
          <t>25</t>
        </is>
      </c>
      <c r="G9" s="13" t="inlineStr">
        <is>
          <t>ارتفاع نهایی کنترل‌شده</t>
        </is>
      </c>
    </row>
    <row r="10" ht="45" customHeight="1">
      <c r="A10" s="23" t="inlineStr">
        <is>
          <t>P-05</t>
        </is>
      </c>
      <c r="B10" s="23" t="inlineStr">
        <is>
          <t>سبزی فصلی / Seasonal Vegetable</t>
        </is>
      </c>
      <c r="C10" s="23" t="inlineStr">
        <is>
          <t>Edible landscape</t>
        </is>
      </c>
      <c r="D10" s="23" t="inlineStr">
        <is>
          <t>باغ سبزی شمال</t>
        </is>
      </c>
      <c r="E10" s="23" t="inlineStr">
        <is>
          <t>m²</t>
        </is>
      </c>
      <c r="F10" s="23" t="inlineStr">
        <is>
          <t>110</t>
        </is>
      </c>
      <c r="G10" s="23" t="inlineStr">
        <is>
          <t>تقسیم‌بندی فصلی و دسترسی راحت</t>
        </is>
      </c>
    </row>
    <row r="11" ht="45" customHeight="1">
      <c r="A11" s="13" t="inlineStr">
        <is>
          <t>P-06</t>
        </is>
      </c>
      <c r="B11" s="13" t="inlineStr">
        <is>
          <t>چمن / Lawn</t>
        </is>
      </c>
      <c r="C11" s="13" t="inlineStr">
        <is>
          <t>Visual breathing room</t>
        </is>
      </c>
      <c r="D11" s="13" t="inlineStr">
        <is>
          <t>مرکز</t>
        </is>
      </c>
      <c r="E11" s="13" t="inlineStr">
        <is>
          <t>m²</t>
        </is>
      </c>
      <c r="F11" s="13" t="inlineStr">
        <is>
          <t>140</t>
        </is>
      </c>
      <c r="G11" s="13" t="inlineStr">
        <is>
          <t>سطح یکدست و مقاوم</t>
        </is>
      </c>
    </row>
  </sheetData>
  <mergeCells count="3">
    <mergeCell ref="A3:G3"/>
    <mergeCell ref="A2:G2"/>
    <mergeCell ref="A1:G1"/>
  </mergeCells>
  <printOptions horizontalCentered="1"/>
  <pageMargins left="0.35" right="0.35" top="0.45" bottom="0.45" header="0.2" footer="0.25"/>
  <pageSetup orientation="landscape" paperSize="9" fitToHeight="0" fitToWidth="1"/>
  <headerFooter>
    <oddHeader>&amp;C&amp;"Aptos,Bold"&amp;9 MAJID EISAPOUR  |  Design &amp; Spatial Practice</oddHeader>
    <oddFooter>&amp;LMAJID EISAPOUR  |  1405 / 2026&amp;CLandscape Design &amp; Technical BOQ | طراحی منظر و برآورد فنی&amp;RPage &amp;P / &amp;N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1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0" customWidth="1" min="2" max="2"/>
    <col width="27" customWidth="1" min="3" max="3"/>
    <col width="12" customWidth="1" min="4" max="4"/>
    <col width="12" customWidth="1" min="5" max="5"/>
    <col width="32" customWidth="1" min="6" max="6"/>
    <col width="48" customWidth="1" min="7" max="7"/>
  </cols>
  <sheetData>
    <row r="1" ht="34" customHeight="1">
      <c r="A1" s="7" t="inlineStr">
        <is>
          <t>LIGHTING &amp; IRRIGATION</t>
        </is>
      </c>
      <c r="B1" s="8" t="n"/>
      <c r="C1" s="8" t="n"/>
      <c r="D1" s="8" t="n"/>
      <c r="E1" s="8" t="n"/>
      <c r="F1" s="8" t="n"/>
      <c r="G1" s="8" t="n"/>
    </row>
    <row r="2" ht="25" customHeight="1">
      <c r="A2" s="9" t="inlineStr">
        <is>
          <t>نورپردازی و آبیاری</t>
        </is>
      </c>
      <c r="B2" s="8" t="n"/>
      <c r="C2" s="8" t="n"/>
      <c r="D2" s="8" t="n"/>
      <c r="E2" s="8" t="n"/>
      <c r="F2" s="8" t="n"/>
      <c r="G2" s="8" t="n"/>
    </row>
    <row r="3" ht="20" customHeight="1">
      <c r="A3" s="10" t="inlineStr">
        <is>
          <t>Invisible infrastructure, visible atmosphere | زیرساخت نامرئی، اتمسفرِ محسوس</t>
        </is>
      </c>
      <c r="B3" s="8" t="n"/>
      <c r="C3" s="8" t="n"/>
      <c r="D3" s="8" t="n"/>
      <c r="E3" s="8" t="n"/>
      <c r="F3" s="8" t="n"/>
      <c r="G3" s="8" t="n"/>
    </row>
    <row r="5" ht="32" customHeight="1">
      <c r="A5" s="11" t="inlineStr">
        <is>
          <t>کد / Code</t>
        </is>
      </c>
      <c r="B5" s="11" t="inlineStr">
        <is>
          <t>سیستم / System</t>
        </is>
      </c>
      <c r="C5" s="11" t="inlineStr">
        <is>
          <t>عنصر / Element</t>
        </is>
      </c>
      <c r="D5" s="11" t="inlineStr">
        <is>
          <t>واحد / Unit</t>
        </is>
      </c>
      <c r="E5" s="11" t="inlineStr">
        <is>
          <t>مقدار / Qty</t>
        </is>
      </c>
      <c r="F5" s="11" t="inlineStr">
        <is>
          <t>اصل طراحی / Design Principle</t>
        </is>
      </c>
      <c r="G5" s="11" t="inlineStr">
        <is>
          <t>نکته فنی / Technical Note</t>
        </is>
      </c>
    </row>
    <row r="6" ht="45" customHeight="1">
      <c r="A6" s="23" t="inlineStr">
        <is>
          <t>L-01</t>
        </is>
      </c>
      <c r="B6" s="23" t="inlineStr">
        <is>
          <t>Lighting</t>
        </is>
      </c>
      <c r="C6" s="23" t="inlineStr">
        <is>
          <t>چراغ مسیر / Path Light</t>
        </is>
      </c>
      <c r="D6" s="23" t="inlineStr">
        <is>
          <t>عدد</t>
        </is>
      </c>
      <c r="E6" s="23" t="inlineStr">
        <is>
          <t>10</t>
        </is>
      </c>
      <c r="F6" s="23" t="inlineStr">
        <is>
          <t>Low glow / نور کم‌ارتفاع</t>
        </is>
      </c>
      <c r="G6" s="23" t="inlineStr">
        <is>
          <t>IP مناسب فضای باز؛ خیرگی کنترل شود</t>
        </is>
      </c>
    </row>
    <row r="7" ht="45" customHeight="1">
      <c r="A7" s="13" t="inlineStr">
        <is>
          <t>L-02</t>
        </is>
      </c>
      <c r="B7" s="13" t="inlineStr">
        <is>
          <t>Lighting</t>
        </is>
      </c>
      <c r="C7" s="13" t="inlineStr">
        <is>
          <t>چراغ توکار / Inground</t>
        </is>
      </c>
      <c r="D7" s="13" t="inlineStr">
        <is>
          <t>عدد</t>
        </is>
      </c>
      <c r="E7" s="13" t="inlineStr">
        <is>
          <t>8</t>
        </is>
      </c>
      <c r="F7" s="13" t="inlineStr">
        <is>
          <t>Accentuate architecture</t>
        </is>
      </c>
      <c r="G7" s="13" t="inlineStr">
        <is>
          <t>دسترسی سرویس و درین مناسب</t>
        </is>
      </c>
    </row>
    <row r="8" ht="45" customHeight="1">
      <c r="A8" s="23" t="inlineStr">
        <is>
          <t>L-03</t>
        </is>
      </c>
      <c r="B8" s="23" t="inlineStr">
        <is>
          <t>Lighting</t>
        </is>
      </c>
      <c r="C8" s="23" t="inlineStr">
        <is>
          <t>نور خطی آب / Water Light</t>
        </is>
      </c>
      <c r="D8" s="23" t="inlineStr">
        <is>
          <t>lm</t>
        </is>
      </c>
      <c r="E8" s="23" t="inlineStr">
        <is>
          <t>10</t>
        </is>
      </c>
      <c r="F8" s="23" t="inlineStr">
        <is>
          <t>Continuous reflection</t>
        </is>
      </c>
      <c r="G8" s="23" t="inlineStr">
        <is>
          <t>کاملاً مناسب محیط مرطوب</t>
        </is>
      </c>
    </row>
    <row r="9" ht="45" customHeight="1">
      <c r="A9" s="13" t="inlineStr">
        <is>
          <t>I-01</t>
        </is>
      </c>
      <c r="B9" s="13" t="inlineStr">
        <is>
          <t>Irrigation</t>
        </is>
      </c>
      <c r="C9" s="13" t="inlineStr">
        <is>
          <t>شبکه اصلی / Main Line</t>
        </is>
      </c>
      <c r="D9" s="13" t="inlineStr">
        <is>
          <t>lm</t>
        </is>
      </c>
      <c r="E9" s="13" t="inlineStr">
        <is>
          <t>120</t>
        </is>
      </c>
      <c r="F9" s="13" t="inlineStr">
        <is>
          <t>Efficient distribution</t>
        </is>
      </c>
      <c r="G9" s="13" t="inlineStr">
        <is>
          <t>تفکیک زون‌های آبیاری</t>
        </is>
      </c>
    </row>
    <row r="10" ht="45" customHeight="1">
      <c r="A10" s="23" t="inlineStr">
        <is>
          <t>I-02</t>
        </is>
      </c>
      <c r="B10" s="23" t="inlineStr">
        <is>
          <t>Irrigation</t>
        </is>
      </c>
      <c r="C10" s="23" t="inlineStr">
        <is>
          <t>خط قطره‌ای / Drip Line</t>
        </is>
      </c>
      <c r="D10" s="23" t="inlineStr">
        <is>
          <t>lm</t>
        </is>
      </c>
      <c r="E10" s="23" t="inlineStr">
        <is>
          <t>350</t>
        </is>
      </c>
      <c r="F10" s="23" t="inlineStr">
        <is>
          <t>Water efficiency</t>
        </is>
      </c>
      <c r="G10" s="23" t="inlineStr">
        <is>
          <t>ویژه باغ سبزی و کاشت</t>
        </is>
      </c>
    </row>
    <row r="11" ht="45" customHeight="1">
      <c r="A11" s="13" t="inlineStr">
        <is>
          <t>I-03</t>
        </is>
      </c>
      <c r="B11" s="13" t="inlineStr">
        <is>
          <t>Irrigation</t>
        </is>
      </c>
      <c r="C11" s="13" t="inlineStr">
        <is>
          <t>شیر برقی / Solenoid Valve</t>
        </is>
      </c>
      <c r="D11" s="13" t="inlineStr">
        <is>
          <t>عدد</t>
        </is>
      </c>
      <c r="E11" s="13" t="inlineStr">
        <is>
          <t>6</t>
        </is>
      </c>
      <c r="F11" s="13" t="inlineStr">
        <is>
          <t>Zone control</t>
        </is>
      </c>
      <c r="G11" s="13" t="inlineStr">
        <is>
          <t>دسترسی برای تعمیرات</t>
        </is>
      </c>
    </row>
  </sheetData>
  <mergeCells count="3">
    <mergeCell ref="A3:G3"/>
    <mergeCell ref="A2:G2"/>
    <mergeCell ref="A1:G1"/>
  </mergeCells>
  <printOptions horizontalCentered="1"/>
  <pageMargins left="0.35" right="0.35" top="0.45" bottom="0.45" header="0.2" footer="0.25"/>
  <pageSetup orientation="landscape" paperSize="9" fitToHeight="0" fitToWidth="1"/>
  <headerFooter>
    <oddHeader>&amp;C&amp;"Aptos,Bold"&amp;9 MAJID EISAPOUR  |  Design &amp; Spatial Practice</oddHeader>
    <oddFooter>&amp;LMAJID EISAPOUR  |  1405 / 2026&amp;CLandscape Design &amp; Technical BOQ | طراحی منظر و برآورد فنی&amp;RPage &amp;P / &amp;N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38" customWidth="1" min="3" max="3"/>
    <col width="18" customWidth="1" min="4" max="4"/>
    <col width="18" customWidth="1" min="5" max="5"/>
    <col width="18" customWidth="1" min="6" max="6"/>
  </cols>
  <sheetData>
    <row r="1" ht="34" customHeight="1">
      <c r="A1" s="7" t="inlineStr">
        <is>
          <t>TECHNICAL NOTES &amp; QA</t>
        </is>
      </c>
      <c r="B1" s="8" t="n"/>
      <c r="C1" s="8" t="n"/>
      <c r="D1" s="8" t="n"/>
      <c r="E1" s="8" t="n"/>
      <c r="F1" s="8" t="n"/>
    </row>
    <row r="2" ht="25" customHeight="1">
      <c r="A2" s="9" t="inlineStr">
        <is>
          <t>یادداشت‌های اجرایی و کنترل کیفیت</t>
        </is>
      </c>
      <c r="B2" s="8" t="n"/>
      <c r="C2" s="8" t="n"/>
      <c r="D2" s="8" t="n"/>
      <c r="E2" s="8" t="n"/>
      <c r="F2" s="8" t="n"/>
    </row>
    <row r="3" ht="20" customHeight="1">
      <c r="A3" s="10" t="inlineStr">
        <is>
          <t>Clear instructions for tender, execution and handover | نکات روشن برای اجرا و تحویل</t>
        </is>
      </c>
      <c r="B3" s="8" t="n"/>
      <c r="C3" s="8" t="n"/>
      <c r="D3" s="8" t="n"/>
      <c r="E3" s="8" t="n"/>
      <c r="F3" s="8" t="n"/>
    </row>
    <row r="5" ht="32" customHeight="1">
      <c r="A5" s="11" t="inlineStr">
        <is>
          <t>کد / Code</t>
        </is>
      </c>
      <c r="B5" s="11" t="inlineStr">
        <is>
          <t>موضوع / Topic</t>
        </is>
      </c>
      <c r="C5" s="11" t="inlineStr">
        <is>
          <t>دستورالعمل / Instruction</t>
        </is>
      </c>
      <c r="D5" s="11" t="inlineStr"/>
      <c r="E5" s="11" t="inlineStr"/>
      <c r="F5" s="11" t="inlineStr"/>
    </row>
    <row r="6" ht="55" customHeight="1">
      <c r="A6" s="16" t="inlineStr">
        <is>
          <t>01</t>
        </is>
      </c>
      <c r="B6" s="16" t="inlineStr">
        <is>
          <t>زیرسازی / Subbase</t>
        </is>
      </c>
      <c r="C6" s="17" t="inlineStr">
        <is>
          <t>تمام سطوح سخت پیش از اجرای لایه نهایی باید متراکم، تراز و دارای شیب کنترل‌شده باشند.</t>
        </is>
      </c>
      <c r="D6" s="18" t="n"/>
      <c r="E6" s="18" t="n"/>
      <c r="F6" s="19" t="n"/>
    </row>
    <row r="7" ht="55" customHeight="1">
      <c r="A7" s="21" t="inlineStr">
        <is>
          <t>02</t>
        </is>
      </c>
      <c r="B7" s="21" t="inlineStr">
        <is>
          <t>زهکشی / Drainage</t>
        </is>
      </c>
      <c r="C7" s="22" t="inlineStr">
        <is>
          <t>در اقلیم مرطوب، مسیر آب سطحی باید پیش از کف‌سازی حل شود؛ آب نباید به سازه پاویون هدایت شود.</t>
        </is>
      </c>
      <c r="D7" s="18" t="n"/>
      <c r="E7" s="18" t="n"/>
      <c r="F7" s="19" t="n"/>
    </row>
    <row r="8" ht="55" customHeight="1">
      <c r="A8" s="16" t="inlineStr">
        <is>
          <t>03</t>
        </is>
      </c>
      <c r="B8" s="16" t="inlineStr">
        <is>
          <t>پاویون / Pavilion</t>
        </is>
      </c>
      <c r="C8" s="17" t="inlineStr">
        <is>
          <t>ابعاد این دفتر مفهومی است؛ نقشه سازه، فونداسیون، اتصالات و جزئیات نهایی توسط مهندس ذی‌صلاح تأیید شود.</t>
        </is>
      </c>
      <c r="D8" s="18" t="n"/>
      <c r="E8" s="18" t="n"/>
      <c r="F8" s="19" t="n"/>
    </row>
    <row r="9" ht="55" customHeight="1">
      <c r="A9" s="21" t="inlineStr">
        <is>
          <t>04</t>
        </is>
      </c>
      <c r="B9" s="21" t="inlineStr">
        <is>
          <t>چوب / Timber</t>
        </is>
      </c>
      <c r="C9" s="22" t="inlineStr">
        <is>
          <t>ترمووود باید از تأمین‌کننده معتبر و با گرید مناسب فضای بیرونی تهیه شود؛ زیرسازی و تهویه پشت چوب الزامی است.</t>
        </is>
      </c>
      <c r="D9" s="18" t="n"/>
      <c r="E9" s="18" t="n"/>
      <c r="F9" s="19" t="n"/>
    </row>
    <row r="10" ht="55" customHeight="1">
      <c r="A10" s="16" t="inlineStr">
        <is>
          <t>05</t>
        </is>
      </c>
      <c r="B10" s="16" t="inlineStr">
        <is>
          <t>نور / Lighting</t>
        </is>
      </c>
      <c r="C10" s="17" t="inlineStr">
        <is>
          <t>چراغ‌های فضای باز باید برای محیط مرطوب و بارندگی انتخاب شوند؛ مسیر کابل و دسترسی تعمیرات از ابتدا پیش‌بینی شود.</t>
        </is>
      </c>
      <c r="D10" s="18" t="n"/>
      <c r="E10" s="18" t="n"/>
      <c r="F10" s="19" t="n"/>
    </row>
    <row r="11" ht="55" customHeight="1">
      <c r="A11" s="21" t="inlineStr">
        <is>
          <t>06</t>
        </is>
      </c>
      <c r="B11" s="21" t="inlineStr">
        <is>
          <t>آب / Water</t>
        </is>
      </c>
      <c r="C11" s="22" t="inlineStr">
        <is>
          <t>آبنمای خطی باید دارای گردش بسته، دسترسی سرویس، آب‌بندی مناسب و امکان تخلیه باشد.</t>
        </is>
      </c>
      <c r="D11" s="18" t="n"/>
      <c r="E11" s="18" t="n"/>
      <c r="F11" s="19" t="n"/>
    </row>
    <row r="12" ht="55" customHeight="1">
      <c r="A12" s="16" t="inlineStr">
        <is>
          <t>07</t>
        </is>
      </c>
      <c r="B12" s="16" t="inlineStr">
        <is>
          <t>کاشت / Planting</t>
        </is>
      </c>
      <c r="C12" s="17" t="inlineStr">
        <is>
          <t>گونه‌ها بر اساس رطوبت، زهکشی، نور، نگهداری و دسترسی محلی نهایی شوند؛ لیست این دفتر جایگزین انتخاب گیاه توسط مجری نیست.</t>
        </is>
      </c>
      <c r="D12" s="18" t="n"/>
      <c r="E12" s="18" t="n"/>
      <c r="F12" s="19" t="n"/>
    </row>
    <row r="13" ht="55" customHeight="1">
      <c r="A13" s="21" t="inlineStr">
        <is>
          <t>08</t>
        </is>
      </c>
      <c r="B13" s="21" t="inlineStr">
        <is>
          <t>لبه خدماتی / Existing Service Edge</t>
        </is>
      </c>
      <c r="C13" s="22" t="inlineStr">
        <is>
          <t>انبار، فضای شست‌وشوی نیمه‌باز و لابی موجود در دامنه طراحی مجدد نیستند و باید در زمان اجرا حفظ شوند.</t>
        </is>
      </c>
      <c r="D13" s="18" t="n"/>
      <c r="E13" s="18" t="n"/>
      <c r="F13" s="19" t="n"/>
    </row>
  </sheetData>
  <mergeCells count="11">
    <mergeCell ref="C13:F13"/>
    <mergeCell ref="A2:F2"/>
    <mergeCell ref="C9:F9"/>
    <mergeCell ref="C8:F8"/>
    <mergeCell ref="A1:F1"/>
    <mergeCell ref="C12:F12"/>
    <mergeCell ref="C6:F6"/>
    <mergeCell ref="C7:F7"/>
    <mergeCell ref="C11:F11"/>
    <mergeCell ref="A3:F3"/>
    <mergeCell ref="C10:F10"/>
  </mergeCells>
  <printOptions horizontalCentered="1"/>
  <pageMargins left="0.35" right="0.35" top="0.45" bottom="0.45" header="0.2" footer="0.25"/>
  <pageSetup orientation="landscape" paperSize="9" fitToHeight="0" fitToWidth="1"/>
  <headerFooter>
    <oddHeader>&amp;C&amp;"Aptos,Bold"&amp;9 MAJID EISAPOUR  |  Design &amp; Spatial Practice</oddHeader>
    <oddFooter>&amp;LMAJID EISAPOUR  |  1405 / 2026&amp;CLandscape Design &amp; Technical BOQ | طراحی منظر و برآورد فنی&amp;RPage &amp;P / &amp;N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4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 ht="34" customHeight="1">
      <c r="A1" s="7" t="inlineStr">
        <is>
          <t>COST SUMMARY &amp; CONTROL</t>
        </is>
      </c>
      <c r="B1" s="8" t="n"/>
      <c r="C1" s="8" t="n"/>
      <c r="D1" s="8" t="n"/>
      <c r="E1" s="8" t="n"/>
      <c r="F1" s="8" t="n"/>
      <c r="G1" s="8" t="n"/>
    </row>
    <row r="2" ht="25" customHeight="1">
      <c r="A2" s="9" t="inlineStr">
        <is>
          <t>خلاصه هزینه و کنترل برآورد</t>
        </is>
      </c>
      <c r="B2" s="8" t="n"/>
      <c r="C2" s="8" t="n"/>
      <c r="D2" s="8" t="n"/>
      <c r="E2" s="8" t="n"/>
      <c r="F2" s="8" t="n"/>
      <c r="G2" s="8" t="n"/>
    </row>
    <row r="3" ht="20" customHeight="1">
      <c r="A3" s="10" t="inlineStr">
        <is>
          <t>A decision-ready financial snapshot | نمای مالی خوانا و تصمیم‌پذیر</t>
        </is>
      </c>
      <c r="B3" s="8" t="n"/>
      <c r="C3" s="8" t="n"/>
      <c r="D3" s="8" t="n"/>
      <c r="E3" s="8" t="n"/>
      <c r="F3" s="8" t="n"/>
      <c r="G3" s="8" t="n"/>
    </row>
    <row r="5" ht="32" customHeight="1">
      <c r="A5" s="11" t="inlineStr">
        <is>
          <t>بخش / Section</t>
        </is>
      </c>
      <c r="B5" s="11" t="inlineStr">
        <is>
          <t>جمع / Total (Toman)</t>
        </is>
      </c>
      <c r="C5" s="11" t="inlineStr">
        <is>
          <t>سهم / Share</t>
        </is>
      </c>
      <c r="D5" s="11" t="inlineStr">
        <is>
          <t>کنترل / Check</t>
        </is>
      </c>
      <c r="E5" s="11" t="inlineStr"/>
      <c r="F5" s="11" t="inlineStr"/>
      <c r="G5" s="11" t="inlineStr"/>
    </row>
    <row r="6">
      <c r="A6" s="17" t="inlineStr">
        <is>
          <t>01–02 | آماده‌سازی و زیرسازی</t>
        </is>
      </c>
      <c r="B6" s="29">
        <f>SUM('04 | BOQ | برآورد'!G6:G9)</f>
        <v/>
      </c>
      <c r="C6" s="30">
        <f>B6/$B$15</f>
        <v/>
      </c>
      <c r="D6" s="17" t="inlineStr">
        <is>
          <t>OK</t>
        </is>
      </c>
    </row>
    <row r="7">
      <c r="A7" s="22" t="inlineStr">
        <is>
          <t>03 | کف‌سازی و محوطه سخت</t>
        </is>
      </c>
      <c r="B7" s="31">
        <f>SUM('04 | BOQ | برآورد'!G10:G11)</f>
        <v/>
      </c>
      <c r="C7" s="32">
        <f>B7/$B$15</f>
        <v/>
      </c>
      <c r="D7" s="22" t="inlineStr">
        <is>
          <t>OK</t>
        </is>
      </c>
    </row>
    <row r="8">
      <c r="A8" s="17" t="inlineStr">
        <is>
          <t>04 | پاویون</t>
        </is>
      </c>
      <c r="B8" s="29">
        <f>SUM('04 | BOQ | برآورد'!G12:G15)</f>
        <v/>
      </c>
      <c r="C8" s="30">
        <f>B8/$B$15</f>
        <v/>
      </c>
      <c r="D8" s="17" t="inlineStr">
        <is>
          <t>OK</t>
        </is>
      </c>
    </row>
    <row r="9">
      <c r="A9" s="22" t="inlineStr">
        <is>
          <t>05–06 | تراس و آب</t>
        </is>
      </c>
      <c r="B9" s="31">
        <f>SUM('04 | BOQ | برآورد'!G16:G17)</f>
        <v/>
      </c>
      <c r="C9" s="32">
        <f>B9/$B$15</f>
        <v/>
      </c>
      <c r="D9" s="22" t="inlineStr">
        <is>
          <t>OK</t>
        </is>
      </c>
    </row>
    <row r="10">
      <c r="A10" s="17" t="inlineStr">
        <is>
          <t>07 | آبیاری</t>
        </is>
      </c>
      <c r="B10" s="29">
        <f>SUM('04 | BOQ | برآورد'!G18:G19)</f>
        <v/>
      </c>
      <c r="C10" s="30">
        <f>B10/$B$15</f>
        <v/>
      </c>
      <c r="D10" s="17" t="inlineStr">
        <is>
          <t>OK</t>
        </is>
      </c>
    </row>
    <row r="11">
      <c r="A11" s="22" t="inlineStr">
        <is>
          <t>08 | کاشت و چمن</t>
        </is>
      </c>
      <c r="B11" s="31">
        <f>SUM('04 | BOQ | برآورد'!G20:G23)</f>
        <v/>
      </c>
      <c r="C11" s="32">
        <f>B11/$B$15</f>
        <v/>
      </c>
      <c r="D11" s="22" t="inlineStr">
        <is>
          <t>OK</t>
        </is>
      </c>
    </row>
    <row r="12">
      <c r="A12" s="17" t="inlineStr">
        <is>
          <t>09 | باغ سبزی</t>
        </is>
      </c>
      <c r="B12" s="29">
        <f>SUM('04 | BOQ | برآورد'!G24:G24)</f>
        <v/>
      </c>
      <c r="C12" s="30">
        <f>B12/$B$15</f>
        <v/>
      </c>
      <c r="D12" s="17" t="inlineStr">
        <is>
          <t>OK</t>
        </is>
      </c>
    </row>
    <row r="13">
      <c r="A13" s="22" t="inlineStr">
        <is>
          <t>10 | نورپردازی</t>
        </is>
      </c>
      <c r="B13" s="31">
        <f>SUM('04 | BOQ | برآورد'!G25:G27)</f>
        <v/>
      </c>
      <c r="C13" s="32">
        <f>B13/$B$15</f>
        <v/>
      </c>
      <c r="D13" s="22" t="inlineStr">
        <is>
          <t>OK</t>
        </is>
      </c>
    </row>
    <row r="14">
      <c r="A14" s="17" t="inlineStr">
        <is>
          <t>12 | کنترل کیفیت</t>
        </is>
      </c>
      <c r="B14" s="29">
        <f>SUM('04 | BOQ | برآورد'!G28:G28)</f>
        <v/>
      </c>
      <c r="C14" s="30">
        <f>B14/$B$15</f>
        <v/>
      </c>
      <c r="D14" s="17" t="inlineStr">
        <is>
          <t>OK</t>
        </is>
      </c>
    </row>
    <row r="15">
      <c r="A15" s="33" t="inlineStr">
        <is>
          <t>جمع مستقیم / Direct Cost</t>
        </is>
      </c>
      <c r="B15" s="34">
        <f>SUM(B6:B14)</f>
        <v/>
      </c>
      <c r="C15" s="33" t="n"/>
    </row>
    <row r="16">
      <c r="A16" s="33" t="inlineStr">
        <is>
          <t>ذخیره 10% / Risk &amp; Waste</t>
        </is>
      </c>
      <c r="B16" s="34">
        <f>B15*10%</f>
        <v/>
      </c>
      <c r="C16" s="33" t="n"/>
    </row>
    <row r="17">
      <c r="A17" s="35" t="inlineStr">
        <is>
          <t>برآورد کل / Estimated Total</t>
        </is>
      </c>
      <c r="B17" s="36">
        <f>B15+B16</f>
        <v/>
      </c>
      <c r="C17" s="35" t="n"/>
    </row>
  </sheetData>
  <mergeCells count="3">
    <mergeCell ref="A3:G3"/>
    <mergeCell ref="A2:G2"/>
    <mergeCell ref="A1:G1"/>
  </mergeCells>
  <printOptions horizontalCentered="1"/>
  <pageMargins left="0.35" right="0.35" top="0.45" bottom="0.45" header="0.2" footer="0.25"/>
  <pageSetup orientation="landscape" paperSize="9" fitToHeight="0" fitToWidth="1"/>
  <headerFooter>
    <oddHeader>&amp;C&amp;"Aptos,Bold"&amp;9 MAJID EISAPOUR  |  Design &amp; Spatial Practice</oddHeader>
    <oddFooter>&amp;LMAJID EISAPOUR  |  1405 / 2026&amp;CLandscape Design &amp; Technical BOQ | طراحی منظر و برآورد فنی&amp;RPage &amp;P / &amp;N</oddFooter>
    <evenHeader/>
    <evenFooter/>
    <firstHeader/>
    <firstFooter/>
  </headerFooter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F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50" customWidth="1" min="3" max="3"/>
    <col width="24" customWidth="1" min="4" max="4"/>
    <col width="24" customWidth="1" min="5" max="5"/>
    <col width="24" customWidth="1" min="6" max="6"/>
  </cols>
  <sheetData>
    <row r="1" ht="34" customHeight="1">
      <c r="A1" s="7" t="inlineStr">
        <is>
          <t>REVISION LOG &amp; DOCUMENT CONTROL</t>
        </is>
      </c>
      <c r="B1" s="8" t="n"/>
      <c r="C1" s="8" t="n"/>
      <c r="D1" s="8" t="n"/>
      <c r="E1" s="8" t="n"/>
      <c r="F1" s="8" t="n"/>
    </row>
    <row r="2" ht="25" customHeight="1">
      <c r="A2" s="9" t="inlineStr">
        <is>
          <t>تاریخچه نسخه‌ها و کنترل مدارک</t>
        </is>
      </c>
      <c r="B2" s="8" t="n"/>
      <c r="C2" s="8" t="n"/>
      <c r="D2" s="8" t="n"/>
      <c r="E2" s="8" t="n"/>
      <c r="F2" s="8" t="n"/>
    </row>
    <row r="3" ht="20" customHeight="1">
      <c r="A3" s="10" t="inlineStr">
        <is>
          <t>Keep every issue traceable | کنترل نسخه و گردش مستندات</t>
        </is>
      </c>
      <c r="B3" s="8" t="n"/>
      <c r="C3" s="8" t="n"/>
      <c r="D3" s="8" t="n"/>
      <c r="E3" s="8" t="n"/>
      <c r="F3" s="8" t="n"/>
    </row>
    <row r="5" ht="32" customHeight="1">
      <c r="A5" s="11" t="inlineStr">
        <is>
          <t>نسخه / Rev.</t>
        </is>
      </c>
      <c r="B5" s="11" t="inlineStr">
        <is>
          <t>تاریخ / Date</t>
        </is>
      </c>
      <c r="C5" s="11" t="inlineStr">
        <is>
          <t>شرح تغییر / Description</t>
        </is>
      </c>
      <c r="D5" s="11" t="inlineStr">
        <is>
          <t>تهیه / Prepared</t>
        </is>
      </c>
      <c r="E5" s="11" t="inlineStr">
        <is>
          <t>بررسی / Checked</t>
        </is>
      </c>
      <c r="F5" s="11" t="inlineStr">
        <is>
          <t>تأیید / Approved</t>
        </is>
      </c>
    </row>
    <row r="6" ht="42" customHeight="1">
      <c r="A6" s="17" t="inlineStr">
        <is>
          <t>01</t>
        </is>
      </c>
      <c r="B6" s="17" t="inlineStr">
        <is>
          <t>1405 / 2026</t>
        </is>
      </c>
      <c r="C6" s="17" t="inlineStr">
        <is>
          <t>نسخه پایه BOQ و ساختار حرفه‌ای دو زبانه</t>
        </is>
      </c>
      <c r="D6" s="17" t="inlineStr">
        <is>
          <t>MAJID EISAPOUR</t>
        </is>
      </c>
      <c r="E6" s="17" t="inlineStr">
        <is>
          <t>—</t>
        </is>
      </c>
      <c r="F6" s="17" t="inlineStr">
        <is>
          <t>—</t>
        </is>
      </c>
    </row>
    <row r="7" ht="42" customHeight="1">
      <c r="A7" s="22" t="inlineStr">
        <is>
          <t>02</t>
        </is>
      </c>
      <c r="B7" s="22" t="inlineStr">
        <is>
          <t>—</t>
        </is>
      </c>
      <c r="C7" s="22" t="inlineStr">
        <is>
          <t>—</t>
        </is>
      </c>
      <c r="D7" s="22" t="inlineStr">
        <is>
          <t>—</t>
        </is>
      </c>
      <c r="E7" s="22" t="inlineStr">
        <is>
          <t>—</t>
        </is>
      </c>
      <c r="F7" s="22" t="inlineStr">
        <is>
          <t>—</t>
        </is>
      </c>
    </row>
    <row r="8" ht="42" customHeight="1">
      <c r="A8" s="17" t="inlineStr">
        <is>
          <t>03</t>
        </is>
      </c>
      <c r="B8" s="17" t="inlineStr">
        <is>
          <t>—</t>
        </is>
      </c>
      <c r="C8" s="17" t="inlineStr">
        <is>
          <t>—</t>
        </is>
      </c>
      <c r="D8" s="17" t="inlineStr">
        <is>
          <t>—</t>
        </is>
      </c>
      <c r="E8" s="17" t="inlineStr">
        <is>
          <t>—</t>
        </is>
      </c>
      <c r="F8" s="17" t="inlineStr">
        <is>
          <t>—</t>
        </is>
      </c>
    </row>
  </sheetData>
  <mergeCells count="3">
    <mergeCell ref="A3:F3"/>
    <mergeCell ref="A2:F2"/>
    <mergeCell ref="A1:F1"/>
  </mergeCells>
  <printOptions horizontalCentered="1"/>
  <pageMargins left="0.35" right="0.35" top="0.45" bottom="0.45" header="0.2" footer="0.25"/>
  <pageSetup orientation="landscape" paperSize="9" fitToHeight="0" fitToWidth="1"/>
  <headerFooter>
    <oddHeader>&amp;C&amp;"Aptos,Bold"&amp;9 MAJID EISAPOUR  |  Design &amp; Spatial Practice</oddHeader>
    <oddFooter>&amp;LMAJID EISAPOUR  |  1405 / 2026&amp;CLandscape Design &amp; Technical BOQ | طراحی منظر و برآورد فنی&amp;RPage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MAJID EISAPOUR</dc:creator>
  <dc:title xmlns:dc="http://purl.org/dc/elements/1.1/">MAJID EISAPOUR | Landscape Design &amp; Technical BOQ | Qaemshahr</dc:title>
  <dc:description xmlns:dc="http://purl.org/dc/elements/1.1/">Prepared &amp; Designed by MAJID EISAPOUR — Design &amp; Spatial Practice</dc:description>
  <dc:subject xmlns:dc="http://purl.org/dc/elements/1.1/">Bilingual premium landscape BOQ and project documentation</dc:subject>
  <dcterms:created xmlns:dcterms="http://purl.org/dc/terms/" xmlns:xsi="http://www.w3.org/2001/XMLSchema-instance" xsi:type="dcterms:W3CDTF">2026-09-26T18:35:51Z</dcterms:created>
  <dcterms:modified xmlns:dcterms="http://purl.org/dc/terms/" xmlns:xsi="http://www.w3.org/2001/XMLSchema-instance" xsi:type="dcterms:W3CDTF">2026-09-26T18:35:51Z</dcterms:modified>
</cp:coreProperties>
</file>